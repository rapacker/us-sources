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66925"/>
  <mc:AlternateContent xmlns:mc="http://schemas.openxmlformats.org/markup-compatibility/2006">
    <mc:Choice Requires="x15">
      <x15ac:absPath xmlns:x15ac="http://schemas.microsoft.com/office/spreadsheetml/2010/11/ac" url="C:\Users\Owner\Documents\Just Saying That\Consulting\GCO\Program Sources\Medicaid and CHIP\"/>
    </mc:Choice>
  </mc:AlternateContent>
  <xr:revisionPtr revIDLastSave="0" documentId="13_ncr:1_{968ABEC9-9651-4813-A411-9D04D7EB0912}" xr6:coauthVersionLast="47" xr6:coauthVersionMax="47" xr10:uidLastSave="{00000000-0000-0000-0000-000000000000}"/>
  <bookViews>
    <workbookView xWindow="380" yWindow="380" windowWidth="16340" windowHeight="10080" activeTab="1" xr2:uid="{563FE1AA-CE82-4505-85CB-19FF4DF02E44}"/>
  </bookViews>
  <sheets>
    <sheet name="BLS Data" sheetId="4" r:id="rId1"/>
    <sheet name="Mcaid" sheetId="1" r:id="rId2"/>
    <sheet name="Cliff WB PMPM" sheetId="3" r:id="rId3"/>
    <sheet name="Sheet1" sheetId="2" r:id="rId4"/>
  </sheets>
  <externalReferences>
    <externalReference r:id="rId5"/>
    <externalReference r:id="rId6"/>
  </externalReferences>
  <definedNames>
    <definedName name="Adjusted_Gross_Income">[1]Calc1!$N$66:INDEX([1]Calc1!$N$66:$HH$66,COUNTIF([1]Calc1!$N$66:$HH$66,”&lt;&gt;”&amp;””))</definedName>
    <definedName name="AgeAdult">[1]Lists!$F$10:$F$60</definedName>
    <definedName name="AgeChild">[1]Lists!$H$10:$H$29</definedName>
    <definedName name="CCA_RateCategoryEntireCol">INDEX([1]!CCA_RateCategory[#Data],,CCA_RateCategoryStateColNum)</definedName>
    <definedName name="CCA_RateCategoryLookup">INDEX([1]!CCA_RateCategory[#Data],1,CCA_RateCategoryStateColNum):INDEX([1]!CCA_RateCategory[#Data],COUNTA(CCA_RateCategoryEntireCol),CCA_RateCategoryStateColNum)</definedName>
    <definedName name="CCA_RateCategoryStateColNum">MATCH(InputStateName,[1]!CCA_RateCategory[#Headers],0)</definedName>
    <definedName name="CCA_SettingsEntireCol">INDEX([1]!CCA_Settings[#Data],,CCA_SettingsStateColNum)</definedName>
    <definedName name="CCA_SettingsLookup">INDEX([1]!CCA_Settings[#Data],1,CCA_SettingsStateColNum):INDEX([1]!CCA_Settings[#Data],COUNTA(CCA_SettingsEntireCol),CCA_SettingsStateColNum)</definedName>
    <definedName name="CCA_SettingsStateColNum">MATCH(InputStateName,[1]!CCA_Settings[#Headers],0)</definedName>
    <definedName name="CHIP_GroupLookup1">[1]Calc1!$C$384:$G$391</definedName>
    <definedName name="CompareAlabamaAdjusted_Gross_Income">[1]Calc1!$N$66:INDEX([1]Calc1!$N$66:$HH$66,COUNTIF([1]Calc1!$N$66:$HH$66,”&lt;&gt;”&amp;””))</definedName>
    <definedName name="CompareAlabamaHousehold_Annual_Earned_Income">[1]Calc1!$N$46:INDEX([1]Calc1!$N$46:$HH$46,COUNTIF([1]Calc1!$N$46:$HH$46,”&lt;&gt;”&amp;””))</definedName>
    <definedName name="CompareAlabamaHousehold_Annual_Income">[1]Calc1!$N$50:INDEX([1]Calc1!$N$50:$HH$50,COUNTIF([1]Calc1!$N$50:$HH$50,”&lt;&gt;”&amp;””))</definedName>
    <definedName name="CompareAlabamaHousehold_Annual_Unearned_Income">[1]Calc1!$N$48:INDEX([1]Calc1!$N$48:$HH$48,COUNTIF([1]Calc1!$N$48:$HH$48,”&lt;&gt;”&amp;””))</definedName>
    <definedName name="CompareAlabamaHousehold_Monthly_Earned_Income">[1]Calc1!$N$45:INDEX([1]Calc1!$N$45:$HH$45,COUNTIF([1]Calc1!$N$45:$HH$45,”&lt;&gt;”&amp;””))</definedName>
    <definedName name="CompareAlabamaHousehold_Monthly_Income">[1]Calc1!$N$49:INDEX([1]Calc1!$N$49:$HH$49,COUNTIF([1]Calc1!$N$49:$HH$49,”&lt;&gt;”&amp;””))</definedName>
    <definedName name="CompareAlabamaHousehold_Monthly_Unearned_Income">[1]Calc1!$N$47:INDEX([1]Calc1!$N$47:$HH$47,COUNTIF([1]Calc1!$N$47:$HH$47,”&lt;&gt;”&amp;””))</definedName>
    <definedName name="CompareAlabamaOutputACTC">[1]Calc1!$N$140:$HF$140</definedName>
    <definedName name="CompareAlabamaOutputChildCareSubsidyFinal">[1]Calc1!$N$588:$HF$588</definedName>
    <definedName name="CompareAlabamaOutputCHIP">[1]Calc1!$N$419:$HF$419</definedName>
    <definedName name="CompareAlabamaOutputComboCashAssistance">CompareAlabamaOutputTANF + CompareAlabamaOutputSSI +CompareAlabamaOutputLIHEAP</definedName>
    <definedName name="CompareAlabamaOutputComboFoodAssistance">CompareAlabamaOutputSNAP + CompareAlabamaOutputWIC + CompareAlabamaOutputSubsidizedSchoolMeals</definedName>
    <definedName name="CompareAlabamaOutputComboMedicalAssistance">CompareAlabamaOutputMedicaid + CompareAlabamaOutputCHIP + CompareAlabamaOutputHIXPTC</definedName>
    <definedName name="CompareAlabamaOutputComboNetEarnings">CompareAlabamaAdjusted_Gross_Income - CompareAlabamaOutputFICA - CompareAlabamaOutputFedTax - CompareAlabamaOutputStateTax</definedName>
    <definedName name="CompareAlabamaOutputComboRefundableTaxCredits">CompareAlabamaOutputEITC + CompareAlabamaOutputACTC + CompareAlabamaOutputStateEITC + CompareAlabamaOutputCTC</definedName>
    <definedName name="CompareAlabamaOutputCTC">[1]Calc1!$N$108:$HF$108</definedName>
    <definedName name="CompareAlabamaOutputEITC">[1]Calc1!$N$122:$HF$122</definedName>
    <definedName name="CompareAlabamaOutputFedTax">[1]Calc1!$N$102:$HF$102</definedName>
    <definedName name="CompareAlabamaOutputFICA">[1]Calc1!$N$54:$HF$54</definedName>
    <definedName name="CompareAlabamaOutputHIXPTC">[1]Calc1!$N$462:$HF$462</definedName>
    <definedName name="CompareAlabamaOutputInterval">[1]Calc1!$N$2:$HF$2</definedName>
    <definedName name="CompareAlabamaOutputLIHEAP">[1]Calc1!$N$711:$HF$711</definedName>
    <definedName name="CompareAlabamaOutputMedicaid">[1]Calc1!$N$375:$HF$375</definedName>
    <definedName name="CompareAlabamaOutputMedicaidAndCHIP">CompareAlabamaOutputMedicaid + CompareAlabamaOutputCHIP</definedName>
    <definedName name="CompareAlabamaOutputMomHourlyWage">[1]Calc1!$N$10:$HF$10</definedName>
    <definedName name="CompareAlabamaOutputMomWeeklyHours">[1]Calc1!$N$5:$HF$5</definedName>
    <definedName name="CompareAlabamaOutputSec8Entry">[1]Calc1!$N$685:$HF$685</definedName>
    <definedName name="CompareAlabamaOutputSec8Extended">[1]Calc1!$N$690:$HF$690</definedName>
    <definedName name="CompareAlabamaOutputSec8Final">[1]Calc1!$N$688:$HF$688</definedName>
    <definedName name="CompareAlabamaOutputSNAP">[1]Calc1!$N$313:$HF$313</definedName>
    <definedName name="CompareAlabamaOutputSSI">[1]Calc1!$N$280:$HF$280</definedName>
    <definedName name="CompareAlabamaOutputStackPlusCashAssistance">CompareAlabamaOutputStackPlusRefundableTaxCredits + CompareAlabamaOutputComboCashAssistance</definedName>
    <definedName name="CompareAlabamaOutputStackPlusChildCareFinal">CompareAlabamaOutputStackPlusMedicalAssistance + CompareAlabamaOutputChildCareSubsidyFinal</definedName>
    <definedName name="CompareAlabamaOutputStackPlusFoodAssistance">CompareAlabamaOutputStackPlusCashAssistance + CompareAlabamaOutputComboFoodAssistance</definedName>
    <definedName name="CompareAlabamaOutputStackPlusHIXPTC">CompareAlabamaOutputStackPlusMedicaidAndCHIP + CompareAlabamaOutputHIXPTC</definedName>
    <definedName name="CompareAlabamaOutputStackPlusMedicaidAndCHIP">CompareAlabamaOutputStackPlusFoodAssistance + CompareAlabamaOutputMedicaid + CompareAlabamaOutputCHIP</definedName>
    <definedName name="CompareAlabamaOutputStackPlusMedicalAssistance">CompareAlabamaOutputStackPlusFoodAssistance + CompareAlabamaOutputComboMedicalAssistance</definedName>
    <definedName name="CompareAlabamaOutputStackPlusRefundableTaxCredits">CompareAlabamaOutputComboNetEarnings+CompareAlabamaOutputComboRefundableTaxCredits</definedName>
    <definedName name="CompareAlabamaOutputStackPlusSec8Entry">CompareAlabamaOutputStackPlusChildCareFinal + CompareAlabamaOutputSec8Entry</definedName>
    <definedName name="CompareAlabamaOutputStackPlusSec8Entry_Graph">CompareAlabamaOutputStackPlusChildCareFinal + CompareAlabamaOutputSec8Final</definedName>
    <definedName name="CompareAlabamaOutputStackPlusSec8Extended">CompareAlabamaOutputStackPlusSec8Entry + CompareAlabamaOutputSec8Extended</definedName>
    <definedName name="CompareAlabamaOutputStateEITC">[1]Calc1!$N$221:$HF$221</definedName>
    <definedName name="CompareAlabamaOutputStateTax">[1]Calc1!$N$206:$HF$206</definedName>
    <definedName name="CompareAlabamaOutputSubsidizedSchoolMeals">[1]Calc1!$N$346:$HF$346</definedName>
    <definedName name="CompareAlabamaOutputTANF">[1]Calc1!$N$267:$HF$267</definedName>
    <definedName name="CompareAlabamaOutputWIC">[1]Calc1!$N$335:$HF$335</definedName>
    <definedName name="CompareFloridaAdjusted_Gross_Income">[1]Calc1!$N$66:INDEX([1]Calc1!$N$66:$HH$66,COUNTIF([1]Calc1!$N$66:$HH$66,”&lt;&gt;”&amp;””))</definedName>
    <definedName name="CompareFloridaHousehold_Annual_Earned_Income">[1]Calc1!$N$46:INDEX([1]Calc1!$N$46:$HH$46,COUNTIF([1]Calc1!$N$46:$HH$46,”&lt;&gt;”&amp;””))</definedName>
    <definedName name="CompareFloridaHousehold_Annual_Income">[1]Calc1!$N$50:INDEX([1]Calc1!$N$50:$HH$50,COUNTIF([1]Calc1!$N$50:$HH$50,”&lt;&gt;”&amp;””))</definedName>
    <definedName name="CompareFloridaHousehold_Annual_Unearned_Income">[1]Calc1!$N$48:INDEX([1]Calc1!$N$48:$HH$48,COUNTIF([1]Calc1!$N$48:$HH$48,”&lt;&gt;”&amp;””))</definedName>
    <definedName name="CompareFloridaHousehold_Monthly_Earned_Income">[1]Calc1!$N$45:INDEX([1]Calc1!$N$45:$HH$45,COUNTIF([1]Calc1!$N$45:$HH$45,”&lt;&gt;”&amp;””))</definedName>
    <definedName name="CompareFloridaHousehold_Monthly_Income">[1]Calc1!$N$49:INDEX([1]Calc1!$N$49:$HH$49,COUNTIF([1]Calc1!$N$49:$HH$49,”&lt;&gt;”&amp;””))</definedName>
    <definedName name="CompareFloridaHousehold_Monthly_Unearned_Income">[1]Calc1!$N$47:INDEX([1]Calc1!$N$47:$HH$47,COUNTIF([1]Calc1!$N$47:$HH$47,”&lt;&gt;”&amp;””))</definedName>
    <definedName name="CompareFloridaOutputACTC">[1]Calc1!$N$140:$HF$140</definedName>
    <definedName name="CompareFloridaOutputChildCareSubsidyFinal">[1]Calc1!$N$588:$HF$588</definedName>
    <definedName name="CompareFloridaOutputCHIP">[1]Calc1!$N$419:$HF$419</definedName>
    <definedName name="CompareFloridaOutputComboCashAssistance">CompareFloridaOutputTANF + CompareFloridaOutputSSI +CompareFloridaOutputLIHEAP</definedName>
    <definedName name="CompareFloridaOutputComboFoodAssistance">CompareFloridaOutputSNAP + CompareFloridaOutputWIC + CompareFloridaOutputSubsidizedSchoolMeals</definedName>
    <definedName name="CompareFloridaOutputComboMedicalAssistance">CompareFloridaOutputMedicaid + CompareFloridaOutputCHIP + CompareFloridaOutputHIXPTC</definedName>
    <definedName name="CompareFloridaOutputComboNetEarnings">CompareFloridaAdjusted_Gross_Income - CompareFloridaOutputFICA - CompareFloridaOutputFedTax - CompareFloridaOutputStateTax</definedName>
    <definedName name="CompareFloridaOutputComboRefundableTaxCredits">CompareFloridaOutputEITC + CompareFloridaOutputACTC + CompareFloridaOutputStateEITC + CompareFloridaOutputCTC</definedName>
    <definedName name="CompareFloridaOutputCTC">[1]Calc1!$N$108:$HF$108</definedName>
    <definedName name="CompareFloridaOutputEITC">[1]Calc1!$N$122:$HF$122</definedName>
    <definedName name="CompareFloridaOutputFedTax">[1]Calc1!$N$102:$HF$102</definedName>
    <definedName name="CompareFloridaOutputFICA">[1]Calc1!$N$54:$HF$54</definedName>
    <definedName name="CompareFloridaOutputHIXPTC">[1]Calc1!$N$462:$HF$462</definedName>
    <definedName name="CompareFloridaOutputInterval">[1]Calc1!$N$2:$HF$2</definedName>
    <definedName name="CompareFloridaOutputLIHEAP">[1]Calc1!$N$711:$HF$711</definedName>
    <definedName name="CompareFloridaOutputMedicaid">[1]Calc1!$N$375:$HF$375</definedName>
    <definedName name="CompareFloridaOutputMedicaidAndCHIP">CompareFloridaOutputMedicaid + CompareFloridaOutputCHIP</definedName>
    <definedName name="CompareFloridaOutputMomHourlyWage">[1]Calc1!$N$10:$HF$10</definedName>
    <definedName name="CompareFloridaOutputMomWeeklyHours">[1]Calc1!$N$5:$HF$5</definedName>
    <definedName name="CompareFloridaOutputSec8Entry">[1]Calc1!$N$685:$HF$685</definedName>
    <definedName name="CompareFloridaOutputSec8Extended">[1]Calc1!$N$690:$HF$690</definedName>
    <definedName name="CompareFloridaOutputSec8Final">[1]Calc1!$N$688:$HF$688</definedName>
    <definedName name="CompareFloridaOutputSNAP">[1]Calc1!$N$313:$HF$313</definedName>
    <definedName name="CompareFloridaOutputSSI">[1]Calc1!$N$280:$HF$280</definedName>
    <definedName name="CompareFloridaOutputStackPlusCashAssistance">CompareFloridaOutputStackPlusRefundableTaxCredits + CompareFloridaOutputComboCashAssistance</definedName>
    <definedName name="CompareFloridaOutputStackPlusChildCareFinal">CompareFloridaOutputStackPlusMedicalAssistance + CompareFloridaOutputChildCareSubsidyFinal</definedName>
    <definedName name="CompareFloridaOutputStackPlusFoodAssistance">CompareFloridaOutputStackPlusCashAssistance + CompareFloridaOutputComboFoodAssistance</definedName>
    <definedName name="CompareFloridaOutputStackPlusHIXPTC">CompareFloridaOutputStackPlusMedicaidAndCHIP + CompareFloridaOutputHIXPTC</definedName>
    <definedName name="CompareFloridaOutputStackPlusMedicaidAndCHIP">CompareFloridaOutputStackPlusFoodAssistance + CompareFloridaOutputMedicaid + CompareFloridaOutputCHIP</definedName>
    <definedName name="CompareFloridaOutputStackPlusMedicalAssistance">CompareFloridaOutputStackPlusFoodAssistance + CompareFloridaOutputComboMedicalAssistance</definedName>
    <definedName name="CompareFloridaOutputStackPlusRefundableTaxCredits">CompareFloridaOutputComboNetEarnings+CompareFloridaOutputComboRefundableTaxCredits</definedName>
    <definedName name="CompareFloridaOutputStackPlusSec8Entry">CompareFloridaOutputStackPlusChildCareFinal + CompareFloridaOutputSec8Entry</definedName>
    <definedName name="CompareFloridaOutputStackPlusSec8Entry_Graph">CompareFloridaOutputStackPlusChildCareFinal + CompareFloridaOutputSec8Final</definedName>
    <definedName name="CompareFloridaOutputStackPlusSec8Extended">CompareFloridaOutputStackPlusSec8Entry + CompareFloridaOutputSec8Extended</definedName>
    <definedName name="CompareFloridaOutputStateEITC">[1]Calc1!$N$221:$HF$221</definedName>
    <definedName name="CompareFloridaOutputStateTax">[1]Calc1!$N$206:$HF$206</definedName>
    <definedName name="CompareFloridaOutputSubsidizedSchoolMeals">[1]Calc1!$N$346:$HF$346</definedName>
    <definedName name="CompareFloridaOutputTANF">[1]Calc1!$N$267:$HF$267</definedName>
    <definedName name="CompareFloridaOutputWIC">[1]Calc1!$N$335:$HF$335</definedName>
    <definedName name="CompareGeorgiaAdjusted_Gross_Income">[1]Calc1!$N$66:INDEX([1]Calc1!$N$66:$HH$66,COUNTIF([1]Calc1!$N$66:$HH$66,”&lt;&gt;”&amp;””))</definedName>
    <definedName name="CompareGeorgiaHousehold_Annual_Earned_Income">[1]Calc1!$N$46:INDEX([1]Calc1!$N$46:$HH$46,COUNTIF([1]Calc1!$N$46:$HH$46,”&lt;&gt;”&amp;””))</definedName>
    <definedName name="CompareGeorgiaHousehold_Annual_Income">[1]Calc1!$N$50:INDEX([1]Calc1!$N$50:$HH$50,COUNTIF([1]Calc1!$N$50:$HH$50,”&lt;&gt;”&amp;””))</definedName>
    <definedName name="CompareGeorgiaHousehold_Annual_Unearned_Income">[1]Calc1!$N$48:INDEX([1]Calc1!$N$48:$HH$48,COUNTIF([1]Calc1!$N$48:$HH$48,”&lt;&gt;”&amp;””))</definedName>
    <definedName name="CompareGeorgiaHousehold_Monthly_Earned_Income">[1]Calc1!$N$45:INDEX([1]Calc1!$N$45:$HH$45,COUNTIF([1]Calc1!$N$45:$HH$45,”&lt;&gt;”&amp;””))</definedName>
    <definedName name="CompareGeorgiaHousehold_Monthly_Income">[1]Calc1!$N$49:INDEX([1]Calc1!$N$49:$HH$49,COUNTIF([1]Calc1!$N$49:$HH$49,”&lt;&gt;”&amp;””))</definedName>
    <definedName name="CompareGeorgiaHousehold_Monthly_Unearned_Income">[1]Calc1!$N$47:INDEX([1]Calc1!$N$47:$HH$47,COUNTIF([1]Calc1!$N$47:$HH$47,”&lt;&gt;”&amp;””))</definedName>
    <definedName name="CompareGeorgiaOutputACTC">[1]Calc1!$N$140:$HF$140</definedName>
    <definedName name="CompareGeorgiaOutputChildCareSubsidyFinal">[1]Calc1!$N$588:$HF$588</definedName>
    <definedName name="CompareGeorgiaOutputCHIP">[1]Calc1!$N$419:$HF$419</definedName>
    <definedName name="CompareGeorgiaOutputComboCashAssistance">CompareGeorgiaOutputTANF + CompareGeorgiaOutputSSI +CompareGeorgiaOutputLIHEAP</definedName>
    <definedName name="CompareGeorgiaOutputComboFoodAssistance">CompareGeorgiaOutputSNAP + CompareGeorgiaOutputWIC + CompareGeorgiaOutputSubsidizedSchoolMeals</definedName>
    <definedName name="CompareGeorgiaOutputComboMedicalAssistance">CompareGeorgiaOutputMedicaid + CompareGeorgiaOutputCHIP + CompareGeorgiaOutputHIXPTC</definedName>
    <definedName name="CompareGeorgiaOutputComboNetEarnings">CompareGeorgiaAdjusted_Gross_Income - CompareGeorgiaOutputFICA - CompareGeorgiaOutputFedTax - CompareGeorgiaOutputStateTax</definedName>
    <definedName name="CompareGeorgiaOutputComboRefundableTaxCredits">CompareGeorgiaOutputEITC + CompareGeorgiaOutputACTC + CompareGeorgiaOutputStateEITC + CompareGeorgiaOutputCTC</definedName>
    <definedName name="CompareGeorgiaOutputCTC">[1]Calc1!$N$108:$HF$108</definedName>
    <definedName name="CompareGeorgiaOutputEITC">[1]Calc1!$N$122:$HF$122</definedName>
    <definedName name="CompareGeorgiaOutputFedTax">[1]Calc1!$N$102:$HF$102</definedName>
    <definedName name="CompareGeorgiaOutputFICA">[1]Calc1!$N$54:$HF$54</definedName>
    <definedName name="CompareGeorgiaOutputHIXPTC">[1]Calc1!$N$462:$HF$462</definedName>
    <definedName name="CompareGeorgiaOutputInterval">[1]Calc1!$N$2:$HF$2</definedName>
    <definedName name="CompareGeorgiaOutputLIHEAP">[1]Calc1!$N$711:$HF$711</definedName>
    <definedName name="CompareGeorgiaOutputMedicaid">[1]Calc1!$N$375:$HF$375</definedName>
    <definedName name="CompareGeorgiaOutputMedicaidAndCHIP">CompareGeorgiaOutputMedicaid + CompareGeorgiaOutputCHIP</definedName>
    <definedName name="CompareGeorgiaOutputMomHourlyWage">[1]Calc1!$N$10:$HF$10</definedName>
    <definedName name="CompareGeorgiaOutputMomWeeklyHours">[1]Calc1!$N$5:$HF$5</definedName>
    <definedName name="CompareGeorgiaOutputSec8Entry">[1]Calc1!$N$685:$HF$685</definedName>
    <definedName name="CompareGeorgiaOutputSec8Extended">[1]Calc1!$N$690:$HF$690</definedName>
    <definedName name="CompareGeorgiaOutputSec8Final">[1]Calc1!$N$688:$HF$688</definedName>
    <definedName name="CompareGeorgiaOutputSNAP">[1]Calc1!$N$313:$HF$313</definedName>
    <definedName name="CompareGeorgiaOutputSSI">[1]Calc1!$N$280:$HF$280</definedName>
    <definedName name="CompareGeorgiaOutputStackPlusCashAssistance">CompareGeorgiaOutputStackPlusRefundableTaxCredits + CompareGeorgiaOutputComboCashAssistance</definedName>
    <definedName name="CompareGeorgiaOutputStackPlusChildCareFinal">CompareGeorgiaOutputStackPlusMedicalAssistance + CompareGeorgiaOutputChildCareSubsidyFinal</definedName>
    <definedName name="CompareGeorgiaOutputStackPlusFoodAssistance">CompareGeorgiaOutputStackPlusCashAssistance + CompareGeorgiaOutputComboFoodAssistance</definedName>
    <definedName name="CompareGeorgiaOutputStackPlusHIXPTC">CompareGeorgiaOutputStackPlusMedicaidAndCHIP + CompareGeorgiaOutputHIXPTC</definedName>
    <definedName name="CompareGeorgiaOutputStackPlusMedicaidAndCHIP">CompareGeorgiaOutputStackPlusFoodAssistance + CompareGeorgiaOutputMedicaid + CompareGeorgiaOutputCHIP</definedName>
    <definedName name="CompareGeorgiaOutputStackPlusMedicalAssistance">CompareGeorgiaOutputStackPlusFoodAssistance + CompareGeorgiaOutputComboMedicalAssistance</definedName>
    <definedName name="CompareGeorgiaOutputStackPlusRefundableTaxCredits">CompareGeorgiaOutputComboNetEarnings+CompareGeorgiaOutputComboRefundableTaxCredits</definedName>
    <definedName name="CompareGeorgiaOutputStackPlusSec8Entry">CompareGeorgiaOutputStackPlusChildCareFinal + CompareGeorgiaOutputSec8Entry</definedName>
    <definedName name="CompareGeorgiaOutputStackPlusSec8Entry_Graph">CompareGeorgiaOutputStackPlusChildCareFinal + CompareGeorgiaOutputSec8Final</definedName>
    <definedName name="CompareGeorgiaOutputStackPlusSec8Extended">CompareGeorgiaOutputStackPlusSec8Entry + CompareGeorgiaOutputSec8Extended</definedName>
    <definedName name="CompareGeorgiaOutputStateEITC">[1]Calc1!$N$221:$HF$221</definedName>
    <definedName name="CompareGeorgiaOutputStateTax">[1]Calc1!$N$206:$HF$206</definedName>
    <definedName name="CompareGeorgiaOutputSubsidizedSchoolMeals">[1]Calc1!$N$346:$HF$346</definedName>
    <definedName name="CompareGeorgiaOutputTANF">[1]Calc1!$N$267:$HF$267</definedName>
    <definedName name="CompareGeorgiaOutputWIC">[1]Calc1!$N$335:$HF$335</definedName>
    <definedName name="CompareLouisianaAdjusted_Gross_Income">[1]Calc1!$N$66:INDEX([1]Calc1!$N$66:$HH$66,COUNTIF([1]Calc1!$N$66:$HH$66,”&lt;&gt;”&amp;””))</definedName>
    <definedName name="CompareLouisianaHousehold_Annual_Earned_Income">[1]Calc1!$N$46:INDEX([1]Calc1!$N$46:$HH$46,COUNTIF([1]Calc1!$N$46:$HH$46,”&lt;&gt;”&amp;””))</definedName>
    <definedName name="CompareLouisianaHousehold_Annual_Income">[1]Calc1!$N$50:INDEX([1]Calc1!$N$50:$HH$50,COUNTIF([1]Calc1!$N$50:$HH$50,”&lt;&gt;”&amp;””))</definedName>
    <definedName name="CompareLouisianaHousehold_Annual_Unearned_Income">[1]Calc1!$N$48:INDEX([1]Calc1!$N$48:$HH$48,COUNTIF([1]Calc1!$N$48:$HH$48,”&lt;&gt;”&amp;””))</definedName>
    <definedName name="CompareLouisianaHousehold_Monthly_Earned_Income">[1]Calc1!$N$45:INDEX([1]Calc1!$N$45:$HH$45,COUNTIF([1]Calc1!$N$45:$HH$45,”&lt;&gt;”&amp;””))</definedName>
    <definedName name="CompareLouisianaHousehold_Monthly_Income">[1]Calc1!$N$49:INDEX([1]Calc1!$N$49:$HH$49,COUNTIF([1]Calc1!$N$49:$HH$49,”&lt;&gt;”&amp;””))</definedName>
    <definedName name="CompareLouisianaHousehold_Monthly_Unearned_Income">[1]Calc1!$N$47:INDEX([1]Calc1!$N$47:$HH$47,COUNTIF([1]Calc1!$N$47:$HH$47,”&lt;&gt;”&amp;””))</definedName>
    <definedName name="CompareLouisianaOutputACTC">[1]Calc1!$N$140:$HF$140</definedName>
    <definedName name="CompareLouisianaOutputChildCareSubsidyFinal">[1]Calc1!$N$588:$HF$588</definedName>
    <definedName name="CompareLouisianaOutputCHIP">[1]Calc1!$N$419:$HF$419</definedName>
    <definedName name="CompareLouisianaOutputComboCashAssistance">CompareLouisianaOutputTANF + CompareLouisianaOutputSSI + CompareLouisianaOutputLIHEAP</definedName>
    <definedName name="CompareLouisianaOutputComboFoodAssistance">CompareLouisianaOutputSNAP + CompareLouisianaOutputWIC + CompareLouisianaOutputSubsidizedSchoolMeals</definedName>
    <definedName name="CompareLouisianaOutputComboMedicalAssistance">CompareLouisianaOutputMedicaid + CompareLouisianaOutputCHIP + CompareLouisianaOutputHIXPTC</definedName>
    <definedName name="CompareLouisianaOutputComboNetEarnings">CompareLouisianaAdjusted_Gross_Income - CompareLouisianaOutputFICA - CompareLouisianaOutputFedTax - CompareLouisianaOutputStateTax</definedName>
    <definedName name="CompareLouisianaOutputComboRefundableTaxCredits">CompareLouisianaOutputEITC + CompareLouisianaOutputACTC + CompareLouisianaOutputStateEITC + CompareLouisianaOutputCTC</definedName>
    <definedName name="CompareLouisianaOutputCTC">[1]Calc1!$N$108:$HF$108</definedName>
    <definedName name="CompareLouisianaOutputEITC">[1]Calc1!$N$122:$HF$122</definedName>
    <definedName name="CompareLouisianaOutputFedTax">[1]Calc1!$N$102:$HF$102</definedName>
    <definedName name="CompareLouisianaOutputFICA">[1]Calc1!$N$54:$HF$54</definedName>
    <definedName name="CompareLouisianaOutputHIXPTC">[1]Calc1!$N$462:$HF$462</definedName>
    <definedName name="CompareLouisianaOutputInterval">[1]Calc1!$N$2:$HF$2</definedName>
    <definedName name="CompareLouisianaOutputLIHEAP">[1]Calc1!$N$711:$HF$711</definedName>
    <definedName name="CompareLouisianaOutputMedicaid">[1]Calc1!$N$375:$HF$375</definedName>
    <definedName name="CompareLouisianaOutputMedicaidAndCHIP">CompareLouisianaOutputMedicaid + CompareLouisianaOutputCHIP</definedName>
    <definedName name="CompareLouisianaOutputMomHourlyWage">[1]Calc1!$N$10:$HF$10</definedName>
    <definedName name="CompareLouisianaOutputMomWeeklyHours">[1]Calc1!$N$5:$HF$5</definedName>
    <definedName name="CompareLouisianaOutputSec8Entry">[1]Calc1!$N$685:$HF$685</definedName>
    <definedName name="CompareLouisianaOutputSec8Extended">[1]Calc1!$N$690:$HF$690</definedName>
    <definedName name="CompareLouisianaOutputSec8Final">[1]Calc1!$N$688:$HF$688</definedName>
    <definedName name="CompareLouisianaOutputSNAP">[1]Calc1!$N$313:$HF$313</definedName>
    <definedName name="CompareLouisianaOutputSSI">[1]Calc1!$N$280:$HF$280</definedName>
    <definedName name="CompareLouisianaOutputStackPlusCashAssistance">CompareLouisianaOutputStackPlusRefundableTaxCredits + CompareLouisianaOutputComboCashAssistance</definedName>
    <definedName name="CompareLouisianaOutputStackPlusChildCareFinal">CompareLouisianaOutputStackPlusMedicalAssistance + CompareLouisianaOutputChildCareSubsidyFinal</definedName>
    <definedName name="CompareLouisianaOutputStackPlusFoodAssistance">CompareLouisianaOutputStackPlusCashAssistance + CompareLouisianaOutputComboFoodAssistance</definedName>
    <definedName name="CompareLouisianaOutputStackPlusHIXPTC">CompareLouisianaOutputStackPlusMedicaidAndCHIP + CompareLouisianaOutputHIXPTC</definedName>
    <definedName name="CompareLouisianaOutputStackPlusMedicaidAndCHIP">CompareLouisianaOutputStackPlusFoodAssistance + CompareLouisianaOutputMedicaid + CompareLouisianaOutputCHIP</definedName>
    <definedName name="CompareLouisianaOutputStackPlusMedicalAssistance">CompareLouisianaOutputStackPlusFoodAssistance + CompareLouisianaOutputComboMedicalAssistance</definedName>
    <definedName name="CompareLouisianaOutputStackPlusRefundableTaxCredits">CompareLouisianaOutputComboNetEarnings+CompareLouisianaOutputComboRefundableTaxCredits</definedName>
    <definedName name="CompareLouisianaOutputStackPlusSec8Entry">CompareLouisianaOutputStackPlusChildCareFinal + CompareLouisianaOutputSec8Entry</definedName>
    <definedName name="CompareLouisianaOutputStackPlusSec8Entry_Graph">CompareLouisianaOutputStackPlusChildCareFinal + CompareLouisianaOutputSec8Final</definedName>
    <definedName name="CompareLouisianaOutputStackPlusSec8Extended">CompareLouisianaOutputStackPlusSec8Entry + CompareLouisianaOutputSec8Extended</definedName>
    <definedName name="CompareLouisianaOutputStateEITC">[1]Calc1!$N$221:$HF$221</definedName>
    <definedName name="CompareLouisianaOutputStateTax">[1]Calc1!$N$206:$HF$206</definedName>
    <definedName name="CompareLouisianaOutputSubsidizedSchoolMeals">[1]Calc1!$N$346:$HF$346</definedName>
    <definedName name="CompareLouisianaOutputTANF">[1]Calc1!$N$267:$HF$267</definedName>
    <definedName name="CompareLouisianaOutputWIC">[1]Calc1!$N$335:$HF$335</definedName>
    <definedName name="CompareMississippiAdjusted_Gross_Income">[1]Calc1!$N$66:INDEX([1]Calc1!$N$66:$HH$66,COUNTIF([1]Calc1!$N$66:$HH$66,”&lt;&gt;”&amp;””))</definedName>
    <definedName name="CompareMississippiHousehold_Annual_Earned_Income">[1]Calc1!$N$46:INDEX([1]Calc1!$N$46:$HH$46,COUNTIF([1]Calc1!$N$46:$HH$46,”&lt;&gt;”&amp;””))</definedName>
    <definedName name="CompareMississippiHousehold_Annual_Income">[1]Calc1!$N$50:INDEX([1]Calc1!$N$50:$HH$50,COUNTIF([1]Calc1!$N$50:$HH$50,”&lt;&gt;”&amp;””))</definedName>
    <definedName name="CompareMississippiHousehold_Annual_Unearned_Income">[1]Calc1!$N$48:INDEX([1]Calc1!$N$48:$HH$48,COUNTIF([1]Calc1!$N$48:$HH$48,”&lt;&gt;”&amp;””))</definedName>
    <definedName name="CompareMississippiHousehold_Monthly_Earned_Income">[1]Calc1!$N$45:INDEX([1]Calc1!$N$45:$HH$45,COUNTIF([1]Calc1!$N$45:$HH$45,”&lt;&gt;”&amp;””))</definedName>
    <definedName name="CompareMississippiHousehold_Monthly_Income">[1]Calc1!$N$49:INDEX([1]Calc1!$N$49:$HH$49,COUNTIF([1]Calc1!$N$49:$HH$49,”&lt;&gt;”&amp;””))</definedName>
    <definedName name="CompareMississippiHousehold_Monthly_Unearned_Income">[1]Calc1!$N$47:INDEX([1]Calc1!$N$47:$HH$47,COUNTIF([1]Calc1!$N$47:$HH$47,”&lt;&gt;”&amp;””))</definedName>
    <definedName name="CompareMississippiOutputACTC">[1]Calc1!$N$140:$HF$140</definedName>
    <definedName name="CompareMississippiOutputChildCareSubsidyFinal">[1]Calc1!$N$588:$HF$588</definedName>
    <definedName name="CompareMississippiOutputCHIP">[1]Calc1!$N$419:$HF$419</definedName>
    <definedName name="CompareMississippiOutputComboCashAssistance">CompareMississippiOutputTANF + CompareMississippiOutputSSI + CompareMississippiOutputLIHEAP</definedName>
    <definedName name="CompareMississippiOutputComboFoodAssistance">CompareMississippiOutputSNAP + CompareMississippiOutputWIC + CompareMississippiOutputSubsidizedSchoolMeals</definedName>
    <definedName name="CompareMississippiOutputComboMedicalAssistance">CompareMississippiOutputMedicaid + CompareMississippiOutputCHIP + CompareMississippiOutputHIXPTC</definedName>
    <definedName name="CompareMississippiOutputComboNetEarnings">CompareMississippiAdjusted_Gross_Income - CompareMississippiOutputFICA - CompareMississippiOutputFedTax - CompareMississippiOutputStateTax</definedName>
    <definedName name="CompareMississippiOutputComboRefundableTaxCredits">CompareMississippiOutputEITC + CompareMississippiOutputACTC + CompareMississippiOutputStateEITC + CompareMississippiOutputCTC</definedName>
    <definedName name="CompareMississippiOutputCTC">[1]Calc1!$N$108:$HF$108</definedName>
    <definedName name="CompareMississippiOutputEITC">[1]Calc1!$N$122:$HF$122</definedName>
    <definedName name="CompareMississippiOutputFedTax">[1]Calc1!$N$102:$HF$102</definedName>
    <definedName name="CompareMississippiOutputFICA">[1]Calc1!$N$54:$HF$54</definedName>
    <definedName name="CompareMississippiOutputHIXPTC">[1]Calc1!$N$462:$HF$462</definedName>
    <definedName name="CompareMississippiOutputInterval">[1]Calc1!$N$2:$HF$2</definedName>
    <definedName name="CompareMississippiOutputLIHEAP">[1]Calc1!$N$711:$HF$711</definedName>
    <definedName name="CompareMississippiOutputMedicaid">[1]Calc1!$N$375:$HF$375</definedName>
    <definedName name="CompareMississippiOutputMedicaidAndCHIP">CompareMississippiOutputMedicaid + CompareMississippiOutputCHIP</definedName>
    <definedName name="CompareMississippiOutputMomHourlyWage">[1]Calc1!$N$10:$HF$10</definedName>
    <definedName name="CompareMississippiOutputMomWeeklyHours">[1]Calc1!$N$5:$HF$5</definedName>
    <definedName name="CompareMississippiOutputSec8Entry">[1]Calc1!$N$685:$HF$685</definedName>
    <definedName name="CompareMississippiOutputSec8Extended">[1]Calc1!$N$690:$HF$690</definedName>
    <definedName name="CompareMississippiOutputSec8Final">[1]Calc1!$N$688:$HF$688</definedName>
    <definedName name="CompareMississippiOutputSNAP">[1]Calc1!$N$313:$HF$313</definedName>
    <definedName name="CompareMississippiOutputSSI">[1]Calc1!$N$280:$HF$280</definedName>
    <definedName name="CompareMississippiOutputStackPlusCashAssistance">CompareMississippiOutputStackPlusRefundableTaxCredits + CompareMississippiOutputComboCashAssistance</definedName>
    <definedName name="CompareMississippiOutputStackPlusChildCareFinal">CompareMississippiOutputStackPlusMedicalAssistance + CompareMississippiOutputChildCareSubsidyFinal</definedName>
    <definedName name="CompareMississippiOutputStackPlusFoodAssistance">CompareMississippiOutputStackPlusCashAssistance + CompareMississippiOutputComboFoodAssistance</definedName>
    <definedName name="CompareMississippiOutputStackPlusHIXPTC">CompareMississippiOutputStackPlusMedicaidAndCHIP + CompareMississippiOutputHIXPTC</definedName>
    <definedName name="CompareMississippiOutputStackPlusMedicaidAndCHIP">CompareMississippiOutputStackPlusFoodAssistance + CompareMississippiOutputMedicaid + CompareMississippiOutputCHIP</definedName>
    <definedName name="CompareMississippiOutputStackPlusMedicalAssistance">CompareMississippiOutputStackPlusFoodAssistance + CompareMississippiOutputComboMedicalAssistance</definedName>
    <definedName name="CompareMississippiOutputStackPlusRefundableTaxCredits">CompareMississippiOutputComboNetEarnings+CompareMississippiOutputComboRefundableTaxCredits</definedName>
    <definedName name="CompareMississippiOutputStackPlusSec8Entry">CompareMississippiOutputStackPlusChildCareFinal + CompareMississippiOutputSec8Entry</definedName>
    <definedName name="CompareMississippiOutputStackPlusSec8Entry_Graph">CompareMississippiOutputStackPlusChildCareFinal + CompareMississippiOutputSec8Final</definedName>
    <definedName name="CompareMississippiOutputStackPlusSec8Extended">CompareMississippiOutputStackPlusSec8Entry + CompareMississippiOutputSec8Extended</definedName>
    <definedName name="CompareMississippiOutputStateEITC">[1]Calc1!$N$221:$HF$221</definedName>
    <definedName name="CompareMississippiOutputStateTax">[1]Calc1!$N$206:$HF$206</definedName>
    <definedName name="CompareMississippiOutputSubsidizedSchoolMeals">[1]Calc1!$N$346:$HF$346</definedName>
    <definedName name="CompareMississippiOutputTANF">[1]Calc1!$N$267:$HF$267</definedName>
    <definedName name="CompareMississippiOutputWIC">[1]Calc1!$N$335:$HF$335</definedName>
    <definedName name="CompareNorthCarolinaAdjusted_Gross_Income">[1]Calc1!$N$66:INDEX([1]Calc1!$N$66:$HH$66,COUNTIF([1]Calc1!$N$66:$HH$66,”&lt;&gt;”&amp;””))</definedName>
    <definedName name="CompareNorthCarolinaHousehold_Annual_Earned_Income">[1]Calc1!$N$46:INDEX([1]Calc1!$N$46:$HH$46,COUNTIF([1]Calc1!$N$46:$HH$46,”&lt;&gt;”&amp;””))</definedName>
    <definedName name="CompareNorthCarolinaHousehold_Annual_Income">[1]Calc1!$N$50:INDEX([1]Calc1!$N$50:$HH$50,COUNTIF([1]Calc1!$N$50:$HH$50,”&lt;&gt;”&amp;””))</definedName>
    <definedName name="CompareNorthCarolinaHousehold_Annual_Unearned_Income">[1]Calc1!$N$48:INDEX([1]Calc1!$N$48:$HH$48,COUNTIF([1]Calc1!$N$48:$HH$48,”&lt;&gt;”&amp;””))</definedName>
    <definedName name="CompareNorthCarolinaHousehold_Monthly_Earned_Income">[1]Calc1!$N$45:INDEX([1]Calc1!$N$45:$HH$45,COUNTIF([1]Calc1!$N$45:$HH$45,”&lt;&gt;”&amp;””))</definedName>
    <definedName name="CompareNorthCarolinaHousehold_Monthly_Income">[1]Calc1!$N$49:INDEX([1]Calc1!$N$49:$HH$49,COUNTIF([1]Calc1!$N$49:$HH$49,”&lt;&gt;”&amp;””))</definedName>
    <definedName name="CompareNorthCarolinaHousehold_Monthly_Unearned_Income">[1]Calc1!$N$47:INDEX([1]Calc1!$N$47:$HH$47,COUNTIF([1]Calc1!$N$47:$HH$47,”&lt;&gt;”&amp;””))</definedName>
    <definedName name="CompareNorthCarolinaOutputACTC">[1]Calc1!$N$140:$HF$140</definedName>
    <definedName name="CompareNorthCarolinaOutputChildCareSubsidyFinal">[1]Calc1!$N$588:$HF$588</definedName>
    <definedName name="CompareNorthCarolinaOutputCHIP">[1]Calc1!$N$419:$HF$419</definedName>
    <definedName name="CompareNorthCarolinaOutputComboCashAssistance">CompareNorthCarolinaOutputTANF + CompareNorthCarolinaOutputSSI +CompareNorthCarolinaOutputLIHEAP</definedName>
    <definedName name="CompareNorthCarolinaOutputComboFoodAssistance">CompareNorthCarolinaOutputSNAP + CompareNorthCarolinaOutputWIC + CompareNorthCarolinaOutputSubsidizedSchoolMeals</definedName>
    <definedName name="CompareNorthCarolinaOutputComboMedicalAssistance">CompareNorthCarolinaOutputMedicaid + CompareNorthCarolinaOutputCHIP + CompareNorthCarolinaOutputHIXPTC</definedName>
    <definedName name="CompareNorthCarolinaOutputComboNetEarnings">CompareNorthCarolinaAdjusted_Gross_Income - CompareNorthCarolinaOutputFICA - CompareNorthCarolinaOutputFedTax - CompareNorthCarolinaOutputStateTax</definedName>
    <definedName name="CompareNorthCarolinaOutputComboRefundableTaxCredits">CompareNorthCarolinaOutputEITC + CompareNorthCarolinaOutputACTC + CompareNorthCarolinaOutputStateEITC + CompareNorthCarolinaOutputCTC</definedName>
    <definedName name="CompareNorthCarolinaOutputCTC">[1]Calc1!$N$108:$HF$108</definedName>
    <definedName name="CompareNorthCarolinaOutputEITC">[1]Calc1!$N$122:$HF$122</definedName>
    <definedName name="CompareNorthCarolinaOutputFedTax">[1]Calc1!$N$102:$HF$102</definedName>
    <definedName name="CompareNorthCarolinaOutputFICA">[1]Calc1!$N$54:$HF$54</definedName>
    <definedName name="CompareNorthCarolinaOutputHIXPTC">[1]Calc1!$N$462:$HF$462</definedName>
    <definedName name="CompareNorthCarolinaOutputInterval">[1]Calc1!$N$2:$HF$2</definedName>
    <definedName name="CompareNorthCarolinaOutputLIHEAP">[1]Calc1!$N$711:$HF$711</definedName>
    <definedName name="CompareNorthCarolinaOutputMedicaid">[1]Calc1!$N$375:$HF$375</definedName>
    <definedName name="CompareNorthCarolinaOutputMedicaidAndCHIP">CompareNorthCarolinaOutputMedicaid + CompareNorthCarolinaOutputCHIP</definedName>
    <definedName name="CompareNorthCarolinaOutputMomHourlyWage">[1]Calc1!$N$10:$HF$10</definedName>
    <definedName name="CompareNorthCarolinaOutputMomWeeklyHours">[1]Calc1!$N$5:$HF$5</definedName>
    <definedName name="CompareNorthCarolinaOutputSec8Entry">[1]Calc1!$N$685:$HF$685</definedName>
    <definedName name="CompareNorthCarolinaOutputSec8Extended">[1]Calc1!$N$690:$HF$690</definedName>
    <definedName name="CompareNorthCarolinaOutputSec8Final">[1]Calc1!$N$688:$HF$688</definedName>
    <definedName name="CompareNorthCarolinaOutputSNAP">[1]Calc1!$N$313:$HF$313</definedName>
    <definedName name="CompareNorthCarolinaOutputSSI">[1]Calc1!$N$280:$HF$280</definedName>
    <definedName name="CompareNorthCarolinaOutputStackPlusCashAssistance">CompareNorthCarolinaOutputStackPlusRefundableTaxCredits + CompareNorthCarolinaOutputComboCashAssistance</definedName>
    <definedName name="CompareNorthCarolinaOutputStackPlusChildCareFinal">CompareNorthCarolinaOutputStackPlusMedicalAssistance + CompareNorthCarolinaOutputChildCareSubsidyFinal</definedName>
    <definedName name="CompareNorthCarolinaOutputStackPlusFoodAssistance">CompareNorthCarolinaOutputStackPlusCashAssistance + CompareNorthCarolinaOutputComboFoodAssistance</definedName>
    <definedName name="CompareNorthCarolinaOutputStackPlusHIXPTC">CompareNorthCarolinaOutputStackPlusMedicaidAndCHIP + CompareNorthCarolinaOutputHIXPTC</definedName>
    <definedName name="CompareNorthCarolinaOutputStackPlusMedicaidAndCHIP">CompareNorthCarolinaOutputStackPlusFoodAssistance + CompareNorthCarolinaOutputMedicaid + CompareNorthCarolinaOutputCHIP</definedName>
    <definedName name="CompareNorthCarolinaOutputStackPlusMedicalAssistance">CompareNorthCarolinaOutputStackPlusFoodAssistance + CompareNorthCarolinaOutputComboMedicalAssistance</definedName>
    <definedName name="CompareNorthCarolinaOutputStackPlusRefundableTaxCredits">CompareNorthCarolinaOutputComboNetEarnings+CompareNorthCarolinaOutputComboRefundableTaxCredits</definedName>
    <definedName name="CompareNorthCarolinaOutputStackPlusSec8Entry">CompareNorthCarolinaOutputStackPlusChildCareFinal + CompareNorthCarolinaOutputSec8Entry</definedName>
    <definedName name="CompareNorthCarolinaOutputStackPlusSec8Entry_Graph">CompareNorthCarolinaOutputStackPlusChildCareFinal + CompareNorthCarolinaOutputSec8Final</definedName>
    <definedName name="CompareNorthCarolinaOutputStackPlusSec8Extended">CompareNorthCarolinaOutputStackPlusSec8Entry + CompareNorthCarolinaOutputSec8Extended</definedName>
    <definedName name="CompareNorthCarolinaOutputStateEITC">[1]Calc1!$N$221:$HF$221</definedName>
    <definedName name="CompareNorthCarolinaOutputStateTax">[1]Calc1!$N$206:$HF$206</definedName>
    <definedName name="CompareNorthCarolinaOutputSubsidizedSchoolMeals">[1]Calc1!$N$346:$HF$346</definedName>
    <definedName name="CompareNorthCarolinaOutputTANF">[1]Calc1!$N$267:$HF$267</definedName>
    <definedName name="CompareNorthCarolinaOutputWIC">[1]Calc1!$N$335:$HF$335</definedName>
    <definedName name="CompareOriginalIncomeAdjusted_Gross_Income">[1]Calc1!$N$66:INDEX([1]Calc1!$N$66:$HH$66,COUNTIF([1]Calc1!$N$66:$HH$66,”&lt;&gt;”&amp;””))</definedName>
    <definedName name="CompareOriginalIncomeHousehold_Annual_Earned_Income">[1]Calc1!$N$46:INDEX([1]Calc1!$N$46:$HH$46,COUNTIF([1]Calc1!$N$46:$HH$46,”&lt;&gt;”&amp;””))</definedName>
    <definedName name="CompareOriginalIncomeHousehold_Annual_Income">[1]Calc1!$N$50:INDEX([1]Calc1!$N$50:$HH$50,COUNTIF([1]Calc1!$N$50:$HH$50,”&lt;&gt;”&amp;””))</definedName>
    <definedName name="CompareOriginalIncomeHousehold_Annual_Unearned_Income">[1]Calc1!$N$48:INDEX([1]Calc1!$N$48:$HH$48,COUNTIF([1]Calc1!$N$48:$HH$48,”&lt;&gt;”&amp;””))</definedName>
    <definedName name="CompareOriginalIncomeHousehold_Monthly_Earned_Income">[1]Calc1!$N$45:INDEX([1]Calc1!$N$45:$HH$45,COUNTIF([1]Calc1!$N$45:$HH$45,”&lt;&gt;”&amp;””))</definedName>
    <definedName name="CompareOriginalIncomeHousehold_Monthly_Income">[1]Calc1!$N$49:INDEX([1]Calc1!$N$49:$HH$49,COUNTIF([1]Calc1!$N$49:$HH$49,”&lt;&gt;”&amp;””))</definedName>
    <definedName name="CompareOriginalIncomeHousehold_Monthly_Unearned_Income">[1]Calc1!$N$47:INDEX([1]Calc1!$N$47:$HH$47,COUNTIF([1]Calc1!$N$47:$HH$47,”&lt;&gt;”&amp;””))</definedName>
    <definedName name="CompareOriginalIncomeOutputACTC">[1]Calc1!$N$140:$HF$140</definedName>
    <definedName name="CompareOriginalIncomeOutputChildCareSubsidyFinal">[1]Calc1!$N$588:$HF$588</definedName>
    <definedName name="CompareOriginalIncomeOutputCHIP">[1]Calc1!$N$419:$HF$419</definedName>
    <definedName name="CompareOriginalIncomeOutputComboCashAssistance">CompareOriginalIncomeOutputTANF + CompareOriginalIncomeOutputSSI + CompareOriginalIncomeOutputLIHEAP</definedName>
    <definedName name="CompareOriginalIncomeOutputComboFoodAssistance">CompareOriginalIncomeOutputSNAP + CompareOriginalIncomeOutputWIC + CompareOriginalIncomeOutputSubsidizedSchoolMeals</definedName>
    <definedName name="CompareOriginalIncomeOutputComboMedicalAssistance">CompareOriginalIncomeOutputMedicaid + CompareOriginalIncomeOutputCHIP + CompareOriginalIncomeOutputHIXPTC</definedName>
    <definedName name="CompareOriginalIncomeOutputComboNetEarnings">CompareOriginalIncomeAdjusted_Gross_Income - CompareOriginalIncomeOutputFICA - CompareOriginalIncomeOutputFedTax - CompareOriginalIncomeOutputStateTax</definedName>
    <definedName name="CompareOriginalIncomeOutputComboRefundableTaxCredits">CompareOriginalIncomeOutputEITC + CompareOriginalIncomeOutputACTC + CompareOriginalIncomeOutputStateEITC + CompareOriginalIncomeOutputCTC</definedName>
    <definedName name="CompareOriginalIncomeOutputCTC">[1]Calc1!$N$108:$HF$108</definedName>
    <definedName name="CompareOriginalIncomeOutputEITC">[1]Calc1!$N$122:$HF$122</definedName>
    <definedName name="CompareOriginalIncomeOutputFedTax">[1]Calc1!$N$102:$HF$102</definedName>
    <definedName name="CompareOriginalIncomeOutputFICA">[1]Calc1!$N$54:$HF$54</definedName>
    <definedName name="CompareOriginalIncomeOutputHIXPTC">[1]Calc1!$N$462:$HF$462</definedName>
    <definedName name="CompareOriginalIncomeOutputInterval">[1]Calc1!$N$2:$HF$2</definedName>
    <definedName name="CompareOriginalIncomeOutputLIHEAP">[1]Calc1!$N$711:$HF$711</definedName>
    <definedName name="CompareOriginalIncomeOutputMedicaid">[1]Calc1!$N$375:$HF$375</definedName>
    <definedName name="CompareOriginalIncomeOutputMedicaidAndCHIP">CompareOriginalIncomeOutputMedicaid + CompareOriginalIncomeOutputCHIP</definedName>
    <definedName name="CompareOriginalIncomeOutputMomHourlyWage">[1]Calc1!$N$10:$HF$10</definedName>
    <definedName name="CompareOriginalIncomeOutputMomWeeklyHours">[1]Calc1!$N$5:$HF$5</definedName>
    <definedName name="CompareOriginalIncomeOutputSec8Entry">[1]Calc1!$N$685:$HF$685</definedName>
    <definedName name="CompareOriginalIncomeOutputSec8Extended">[1]Calc1!$N$690:$HF$690</definedName>
    <definedName name="CompareOriginalIncomeOutputSec8Final">[1]Calc1!$N$688:$HF$688</definedName>
    <definedName name="CompareOriginalIncomeOutputSNAP">[1]Calc1!$N$313:$HF$313</definedName>
    <definedName name="CompareOriginalIncomeOutputSSI">[1]Calc1!$N$280:$HF$280</definedName>
    <definedName name="CompareOriginalIncomeOutputStackPlusCashAssistance">CompareOriginalIncomeOutputStackPlusRefundableTaxCredits + CompareOriginalIncomeOutputComboCashAssistance</definedName>
    <definedName name="CompareOriginalIncomeOutputStackPlusChildCareFinal">CompareOriginalIncomeOutputStackPlusMedicalAssistance + CompareOriginalIncomeOutputChildCareSubsidyFinal</definedName>
    <definedName name="CompareOriginalIncomeOutputStackPlusFoodAssistance">CompareOriginalIncomeOutputStackPlusCashAssistance + CompareOriginalIncomeOutputComboFoodAssistance</definedName>
    <definedName name="CompareOriginalIncomeOutputStackPlusHIXPTC">CompareOriginalIncomeOutputStackPlusMedicaidAndCHIP + CompareOriginalIncomeOutputHIXPTC</definedName>
    <definedName name="CompareOriginalIncomeOutputStackPlusMedicaidAndCHIP">CompareOriginalIncomeOutputStackPlusFoodAssistance + CompareOriginalIncomeOutputMedicaid + CompareOriginalIncomeOutputCHIP</definedName>
    <definedName name="CompareOriginalIncomeOutputStackPlusMedicalAssistance">CompareOriginalIncomeOutputStackPlusFoodAssistance + CompareOriginalIncomeOutputComboMedicalAssistance</definedName>
    <definedName name="CompareOriginalIncomeOutputStackPlusRefundableTaxCredits">CompareOriginalIncomeOutputComboNetEarnings+CompareOriginalIncomeOutputComboRefundableTaxCredits</definedName>
    <definedName name="CompareOriginalIncomeOutputStackPlusSec8Entry">CompareOriginalIncomeOutputStackPlusChildCareFinal + CompareOriginalIncomeOutputSec8Entry</definedName>
    <definedName name="CompareOriginalIncomeOutputStackPlusSec8Entry_Graph">CompareOriginalIncomeOutputStackPlusChildCareFinal + CompareOriginalIncomeOutputSec8Final</definedName>
    <definedName name="CompareOriginalIncomeOutputStackPlusSec8Extended">CompareOriginalIncomeOutputStackPlusSec8Entry + CompareOriginalIncomeOutputSec8Extended</definedName>
    <definedName name="CompareOriginalIncomeOutputStateEITC">[1]Calc1!$N$221:$HF$221</definedName>
    <definedName name="CompareOriginalIncomeOutputStateTax">[1]Calc1!$N$206:$HF$206</definedName>
    <definedName name="CompareOriginalIncomeOutputSubsidizedSchoolMeals">[1]Calc1!$N$346:$HF$346</definedName>
    <definedName name="CompareOriginalIncomeOutputTANF">[1]Calc1!$N$267:$HF$267</definedName>
    <definedName name="CompareOriginalIncomeOutputWIC">[1]Calc1!$N$335:$HF$335</definedName>
    <definedName name="CompareProspectiveIncomeAdjusted_Gross_Income">[1]Calc1!$N$66:INDEX([1]Calc1!$N$66:$HH$66,COUNTIF([1]Calc1!$N$66:$HH$66,”&lt;&gt;”&amp;””))</definedName>
    <definedName name="CompareProspectiveIncomeHousehold_Annual_Earned_Income">[1]Calc1!$N$46:INDEX([1]Calc1!$N$46:$HH$46,COUNTIF([1]Calc1!$N$46:$HH$46,”&lt;&gt;”&amp;””))</definedName>
    <definedName name="CompareProspectiveIncomeHousehold_Annual_Income">[1]Calc1!$N$50:INDEX([1]Calc1!$N$50:$HH$50,COUNTIF([1]Calc1!$N$50:$HH$50,”&lt;&gt;”&amp;””))</definedName>
    <definedName name="CompareProspectiveIncomeHousehold_Annual_Unearned_Income">[1]Calc1!$N$48:INDEX([1]Calc1!$N$48:$HH$48,COUNTIF([1]Calc1!$N$48:$HH$48,”&lt;&gt;”&amp;””))</definedName>
    <definedName name="CompareProspectiveIncomeHousehold_Monthly_Earned_Income">[1]Calc1!$N$45:INDEX([1]Calc1!$N$45:$HH$45,COUNTIF([1]Calc1!$N$45:$HH$45,”&lt;&gt;”&amp;””))</definedName>
    <definedName name="CompareProspectiveIncomeHousehold_Monthly_Income">[1]Calc1!$N$49:INDEX([1]Calc1!$N$49:$HH$49,COUNTIF([1]Calc1!$N$49:$HH$49,”&lt;&gt;”&amp;””))</definedName>
    <definedName name="CompareProspectiveIncomeHousehold_Monthly_Unearned_Income">[1]Calc1!$N$47:INDEX([1]Calc1!$N$47:$HH$47,COUNTIF([1]Calc1!$N$47:$HH$47,”&lt;&gt;”&amp;””))</definedName>
    <definedName name="CompareProspectiveIncomeOutputACTC">[1]Calc1!$N$140:$HF$140</definedName>
    <definedName name="CompareProspectiveIncomeOutputChildCareSubsidyFinal">[1]Calc1!$N$588:$HF$588</definedName>
    <definedName name="CompareProspectiveIncomeOutputCHIP">[1]Calc1!$N$419:$HF$419</definedName>
    <definedName name="CompareProspectiveIncomeOutputComboCashAssistance">CompareProspectiveIncomeOutputTANF + CompareProspectiveIncomeOutputSSI + CompareProspectiveIncomeOutputLIHEAP</definedName>
    <definedName name="CompareProspectiveIncomeOutputComboFoodAssistance">CompareProspectiveIncomeOutputSNAP + CompareProspectiveIncomeOutputWIC + CompareProspectiveIncomeOutputSubsidizedSchoolMeals</definedName>
    <definedName name="CompareProspectiveIncomeOutputComboMedicalAssistance">CompareProspectiveIncomeOutputMedicaid + CompareProspectiveIncomeOutputCHIP + CompareProspectiveIncomeOutputHIXPTC</definedName>
    <definedName name="CompareProspectiveIncomeOutputComboNetEarnings">CompareProspectiveIncomeAdjusted_Gross_Income - CompareProspectiveIncomeOutputFICA - CompareProspectiveIncomeOutputFedTax - CompareProspectiveIncomeOutputStateTax</definedName>
    <definedName name="CompareProspectiveIncomeOutputComboRefundableTaxCredits">CompareProspectiveIncomeOutputEITC + CompareProspectiveIncomeOutputACTC + CompareProspectiveIncomeOutputStateEITC</definedName>
    <definedName name="CompareProspectiveIncomeOutputCTC">[1]Calc1!$N$108:$HF$108</definedName>
    <definedName name="CompareProspectiveIncomeOutputEITC">[1]Calc1!$N$122:$HF$122</definedName>
    <definedName name="CompareProspectiveIncomeOutputFedTax">[1]Calc1!$N$102:$HF$102</definedName>
    <definedName name="CompareProspectiveIncomeOutputFICA">[1]Calc1!$N$54:$HF$54</definedName>
    <definedName name="CompareProspectiveIncomeOutputHIXPTC">[1]Calc1!$N$462:$HF$462</definedName>
    <definedName name="CompareProspectiveIncomeOutputInterval">[1]Calc1!$N$2:$HF$2</definedName>
    <definedName name="CompareProspectiveIncomeOutputLIHEAP">[1]Calc1!$N$711:$HF$711</definedName>
    <definedName name="CompareProspectiveIncomeOutputMedicaid">[1]Calc1!$N$375:$HF$375</definedName>
    <definedName name="CompareProspectiveIncomeOutputMedicaidAndCHIP">CompareProspectiveIncomeOutputMedicaid + CompareProspectiveIncomeOutputCHIP</definedName>
    <definedName name="CompareProspectiveIncomeOutputMomHourlyWage">[1]Calc1!$N$10:$HF$10</definedName>
    <definedName name="CompareProspectiveIncomeOutputMomWeeklyHours">[1]Calc1!$N$5:$HF$5</definedName>
    <definedName name="CompareProspectiveIncomeOutputSec8Entry">[1]Calc1!$N$685:$HF$685</definedName>
    <definedName name="CompareProspectiveIncomeOutputSec8Extended">[1]Calc1!$N$690:$HF$690</definedName>
    <definedName name="CompareProspectiveIncomeOutputSec8Final">[1]Calc1!$N$688:$HF$688</definedName>
    <definedName name="CompareProspectiveIncomeOutputSNAP">[1]Calc1!$N$313:$HF$313</definedName>
    <definedName name="CompareProspectiveIncomeOutputSSI">[1]Calc1!$N$280:$HF$280</definedName>
    <definedName name="CompareProspectiveIncomeOutputStackPlusCashAssistance">CompareProspectiveIncomeOutputStackPlusRefundableTaxCredits + CompareProspectiveIncomeOutputComboCashAssistance</definedName>
    <definedName name="CompareProspectiveIncomeOutputStackPlusChildCareFinal">CompareProspectiveIncomeOutputStackPlusMedicalAssistance + CompareProspectiveIncomeOutputChildCareSubsidyFinal</definedName>
    <definedName name="CompareProspectiveIncomeOutputStackPlusFoodAssistance">CompareProspectiveIncomeOutputStackPlusCashAssistance + CompareProspectiveIncomeOutputComboFoodAssistance</definedName>
    <definedName name="CompareProspectiveIncomeOutputStackPlusHIXPTC">CompareProspectiveIncomeOutputStackPlusMedicaidAndCHIP + CompareProspectiveIncomeOutputHIXPTC</definedName>
    <definedName name="CompareProspectiveIncomeOutputStackPlusMedicaidAndCHIP">CompareProspectiveIncomeOutputStackPlusFoodAssistance + CompareProspectiveIncomeOutputMedicaid + CompareProspectiveIncomeOutputCHIP</definedName>
    <definedName name="CompareProspectiveIncomeOutputStackPlusMedicalAssistance">CompareProspectiveIncomeOutputStackPlusFoodAssistance + CompareProspectiveIncomeOutputComboMedicalAssistance</definedName>
    <definedName name="CompareProspectiveIncomeOutputStackPlusRefundableTaxCredits">CompareProspectiveIncomeOutputComboNetEarnings+CompareProspectiveIncomeOutputComboRefundableTaxCredits</definedName>
    <definedName name="CompareProspectiveIncomeOutputStackPlusSec8Entry">CompareProspectiveIncomeOutputStackPlusChildCareFinal + CompareProspectiveIncomeOutputSec8Entry</definedName>
    <definedName name="CompareProspectiveIncomeOutputStackPlusSec8Entry_Graph">CompareProspectiveIncomeOutputStackPlusChildCareFinal + CompareProspectiveIncomeOutputSec8Final</definedName>
    <definedName name="CompareProspectiveIncomeOutputStackPlusSec8Extended">CompareProspectiveIncomeOutputStackPlusSec8Entry + CompareProspectiveIncomeOutputSec8Extended</definedName>
    <definedName name="CompareProspectiveIncomeOutputStateEITC">[1]Calc1!$N$221:$HF$221</definedName>
    <definedName name="CompareProspectiveIncomeOutputStateTax">[1]Calc1!$N$206:$HF$206</definedName>
    <definedName name="CompareProspectiveIncomeOutputSubsidizedSchoolMeals">[1]Calc1!$N$346:$HF$346</definedName>
    <definedName name="CompareProspectiveIncomeOutputTANF">[1]Calc1!$N$267:$HF$267</definedName>
    <definedName name="CompareProspectiveIncomeOutputWIC">[1]Calc1!$N$335:$HF$335</definedName>
    <definedName name="CompareSouthCarolinaAdjusted_Gross_Income">[1]Calc1!$N$66:INDEX([1]Calc1!$N$66:$HH$66,COUNTIF([1]Calc1!$N$66:$HH$66,”&lt;&gt;”&amp;””))</definedName>
    <definedName name="CompareSouthCarolinaHousehold_Annual_Earned_Income">[1]Calc1!$N$46:INDEX([1]Calc1!$N$46:$HH$46,COUNTIF([1]Calc1!$N$46:$HH$46,”&lt;&gt;”&amp;””))</definedName>
    <definedName name="CompareSouthCarolinaHousehold_Annual_Income">[1]Calc1!$N$50:INDEX([1]Calc1!$N$50:$HH$50,COUNTIF([1]Calc1!$N$50:$HH$50,”&lt;&gt;”&amp;””))</definedName>
    <definedName name="CompareSouthCarolinaHousehold_Annual_Unearned_Income">[1]Calc1!$N$48:INDEX([1]Calc1!$N$48:$HH$48,COUNTIF([1]Calc1!$N$48:$HH$48,”&lt;&gt;”&amp;””))</definedName>
    <definedName name="CompareSouthCarolinaHousehold_Monthly_Earned_Income">[1]Calc1!$N$45:INDEX([1]Calc1!$N$45:$HH$45,COUNTIF([1]Calc1!$N$45:$HH$45,”&lt;&gt;”&amp;””))</definedName>
    <definedName name="CompareSouthCarolinaHousehold_Monthly_Income">[1]Calc1!$N$49:INDEX([1]Calc1!$N$49:$HH$49,COUNTIF([1]Calc1!$N$49:$HH$49,”&lt;&gt;”&amp;””))</definedName>
    <definedName name="CompareSouthCarolinaHousehold_Monthly_Unearned_Income">[1]Calc1!$N$47:INDEX([1]Calc1!$N$47:$HH$47,COUNTIF([1]Calc1!$N$47:$HH$47,”&lt;&gt;”&amp;””))</definedName>
    <definedName name="CompareSouthCarolinaOutputACTC">[1]Calc1!$N$140:$HF$140</definedName>
    <definedName name="CompareSouthCarolinaOutputChildCareSubsidyFinal">[1]Calc1!$N$588:$HF$588</definedName>
    <definedName name="CompareSouthCarolinaOutputCHIP">[1]Calc1!$N$419:$HF$419</definedName>
    <definedName name="CompareSouthCarolinaOutputComboCashAssistance">CompareSouthCarolinaOutputTANF + CompareSouthCarolinaOutputSSI + CompareSouthCarolinaOutputLIHEAP</definedName>
    <definedName name="CompareSouthCarolinaOutputComboFoodAssistance">CompareSouthCarolinaOutputSNAP + CompareSouthCarolinaOutputWIC + CompareSouthCarolinaOutputSubsidizedSchoolMeals</definedName>
    <definedName name="CompareSouthCarolinaOutputComboMedicalAssistance">CompareSouthCarolinaOutputMedicaid + CompareSouthCarolinaOutputCHIP + CompareSouthCarolinaOutputHIXPTC</definedName>
    <definedName name="CompareSouthCarolinaOutputComboNetEarnings">CompareSouthCarolinaAdjusted_Gross_Income - CompareSouthCarolinaOutputFICA - CompareSouthCarolinaOutputFedTax - CompareSouthCarolinaOutputStateTax</definedName>
    <definedName name="CompareSouthCarolinaOutputComboRefundableTaxCredits">CompareSouthCarolinaOutputEITC + CompareSouthCarolinaOutputACTC + CompareSouthCarolinaOutputStateEITC + CompareSouthCarolinaOutputCTC</definedName>
    <definedName name="CompareSouthCarolinaOutputCTC">[1]Calc1!$N$108:$HF$108</definedName>
    <definedName name="CompareSouthCarolinaOutputEITC">[1]Calc1!$N$122:$HF$122</definedName>
    <definedName name="CompareSouthCarolinaOutputFedTax">[1]Calc1!$N$102:$HF$102</definedName>
    <definedName name="CompareSouthCarolinaOutputFICA">[1]Calc1!$N$54:$HF$54</definedName>
    <definedName name="CompareSouthCarolinaOutputHIXPTC">[1]Calc1!$N$462:$HF$462</definedName>
    <definedName name="CompareSouthCarolinaOutputInterval">[1]Calc1!$N$2:$HF$2</definedName>
    <definedName name="CompareSouthCarolinaOutputLIHEAP">[1]Calc1!$N$711:$HF$711</definedName>
    <definedName name="CompareSouthCarolinaOutputMedicaid">[1]Calc1!$N$375:$HF$375</definedName>
    <definedName name="CompareSouthCarolinaOutputMedicaidAndCHIP">CompareSouthCarolinaOutputMedicaid + CompareSouthCarolinaOutputCHIP</definedName>
    <definedName name="CompareSouthCarolinaOutputMomHourlyWage">[1]Calc1!$N$10:$HF$10</definedName>
    <definedName name="CompareSouthCarolinaOutputMomWeeklyHours">[1]Calc1!$N$5:$HF$5</definedName>
    <definedName name="CompareSouthCarolinaOutputSec8Entry">[1]Calc1!$N$685:$HF$685</definedName>
    <definedName name="CompareSouthCarolinaOutputSec8Extended">[1]Calc1!$N$690:$HF$690</definedName>
    <definedName name="CompareSouthCarolinaOutputSec8Final">[1]Calc1!$N$688:$HF$688</definedName>
    <definedName name="CompareSouthCarolinaOutputSNAP">[1]Calc1!$N$313:$HF$313</definedName>
    <definedName name="CompareSouthCarolinaOutputSSI">[1]Calc1!$N$280:$HF$280</definedName>
    <definedName name="CompareSouthCarolinaOutputStackPlusCashAssistance">CompareSouthCarolinaOutputStackPlusRefundableTaxCredits + CompareSouthCarolinaOutputComboCashAssistance</definedName>
    <definedName name="CompareSouthCarolinaOutputStackPlusChildCareFinal">CompareSouthCarolinaOutputStackPlusMedicalAssistance + CompareSouthCarolinaOutputChildCareSubsidyFinal</definedName>
    <definedName name="CompareSouthCarolinaOutputStackPlusFoodAssistance">CompareSouthCarolinaOutputStackPlusCashAssistance + CompareSouthCarolinaOutputComboFoodAssistance</definedName>
    <definedName name="CompareSouthCarolinaOutputStackPlusHIXPTC">CompareSouthCarolinaOutputStackPlusMedicaidAndCHIP + CompareSouthCarolinaOutputHIXPTC</definedName>
    <definedName name="CompareSouthCarolinaOutputStackPlusMedicaidAndCHIP">CompareSouthCarolinaOutputStackPlusFoodAssistance + CompareSouthCarolinaOutputMedicaid + CompareSouthCarolinaOutputCHIP</definedName>
    <definedName name="CompareSouthCarolinaOutputStackPlusMedicalAssistance">CompareSouthCarolinaOutputStackPlusFoodAssistance + CompareSouthCarolinaOutputComboMedicalAssistance</definedName>
    <definedName name="CompareSouthCarolinaOutputStackPlusRefundableTaxCredits">CompareSouthCarolinaOutputComboNetEarnings+CompareSouthCarolinaOutputComboRefundableTaxCredits</definedName>
    <definedName name="CompareSouthCarolinaOutputStackPlusSec8Entry">CompareSouthCarolinaOutputStackPlusChildCareFinal + CompareSouthCarolinaOutputSec8Entry</definedName>
    <definedName name="CompareSouthCarolinaOutputStackPlusSec8Entry_Graph">CompareSouthCarolinaOutputStackPlusChildCareFinal + CompareSouthCarolinaOutputSec8Final</definedName>
    <definedName name="CompareSouthCarolinaOutputStackPlusSec8Extended">CompareSouthCarolinaOutputStackPlusSec8Entry + CompareSouthCarolinaOutputSec8Extended</definedName>
    <definedName name="CompareSouthCarolinaOutputStateEITC">[1]Calc1!$N$221:$HF$221</definedName>
    <definedName name="CompareSouthCarolinaOutputStateTax">[1]Calc1!$N$206:$HF$206</definedName>
    <definedName name="CompareSouthCarolinaOutputSubsidizedSchoolMeals">[1]Calc1!$N$346:$HF$346</definedName>
    <definedName name="CompareSouthCarolinaOutputTANF">[1]Calc1!$N$267:$HF$267</definedName>
    <definedName name="CompareSouthCarolinaOutputWIC">[1]Calc1!$N$335:$HF$335</definedName>
    <definedName name="CompareTennesseeAdjusted_Gross_Income">[1]Calc1!$N$66:INDEX([1]Calc1!$N$66:$HH$66,COUNTIF([1]Calc1!$N$66:$HH$66,”&lt;&gt;”&amp;””))</definedName>
    <definedName name="CompareTennesseeHousehold_Annual_Earned_Income">[1]Calc1!$N$46:INDEX([1]Calc1!$N$46:$HH$46,COUNTIF([1]Calc1!$N$46:$HH$46,”&lt;&gt;”&amp;””))</definedName>
    <definedName name="CompareTennesseeHousehold_Annual_Income">[1]Calc1!$N$50:INDEX([1]Calc1!$N$50:$HH$50,COUNTIF([1]Calc1!$N$50:$HH$50,”&lt;&gt;”&amp;””))</definedName>
    <definedName name="CompareTennesseeHousehold_Annual_Unearned_Income">[1]Calc1!$N$48:INDEX([1]Calc1!$N$48:$HH$48,COUNTIF([1]Calc1!$N$48:$HH$48,”&lt;&gt;”&amp;””))</definedName>
    <definedName name="CompareTennesseeHousehold_Monthly_Earned_Income">[1]Calc1!$N$45:INDEX([1]Calc1!$N$45:$HH$45,COUNTIF([1]Calc1!$N$45:$HH$45,”&lt;&gt;”&amp;””))</definedName>
    <definedName name="CompareTennesseeHousehold_Monthly_Income">[1]Calc1!$N$49:INDEX([1]Calc1!$N$49:$HH$49,COUNTIF([1]Calc1!$N$49:$HH$49,”&lt;&gt;”&amp;””))</definedName>
    <definedName name="CompareTennesseeHousehold_Monthly_Unearned_Income">[1]Calc1!$N$47:INDEX([1]Calc1!$N$47:$HH$47,COUNTIF([1]Calc1!$N$47:$HH$47,”&lt;&gt;”&amp;””))</definedName>
    <definedName name="CompareTennesseeOutputACTC">[1]Calc1!$N$140:$HF$140</definedName>
    <definedName name="CompareTennesseeOutputChildCareSubsidyFinal">[1]Calc1!$N$588:$HF$588</definedName>
    <definedName name="CompareTennesseeOutputCHIP">[1]Calc1!$N$419:$HF$419</definedName>
    <definedName name="CompareTennesseeOutputComboCashAssistance">CompareTennesseeOutputTANF + CompareTennesseeOutputSSI + CompareTennesseeOutputLIHEAP</definedName>
    <definedName name="CompareTennesseeOutputComboFoodAssistance">CompareTennesseeOutputSNAP + CompareTennesseeOutputWIC + CompareTennesseeOutputSubsidizedSchoolMeals</definedName>
    <definedName name="CompareTennesseeOutputComboMedicalAssistance">CompareTennesseeOutputMedicaid + CompareTennesseeOutputCHIP + CompareTennesseeOutputHIXPTC</definedName>
    <definedName name="CompareTennesseeOutputComboNetEarnings">CompareTennesseeAdjusted_Gross_Income - CompareTennesseeOutputFICA - CompareTennesseeOutputFedTax - CompareTennesseeOutputStateTax</definedName>
    <definedName name="CompareTennesseeOutputComboRefundableTaxCredits">CompareTennesseeOutputEITC + CompareTennesseeOutputACTC + CompareTennesseeOutputStateEITC + CompareTennesseeOutputCTC</definedName>
    <definedName name="CompareTennesseeOutputCTC">[1]Calc1!$N$108:$HF$108</definedName>
    <definedName name="CompareTennesseeOutputEITC">[1]Calc1!$N$122:$HF$122</definedName>
    <definedName name="CompareTennesseeOutputFedTax">[1]Calc1!$N$102:$HF$102</definedName>
    <definedName name="CompareTennesseeOutputFICA">[1]Calc1!$N$54:$HF$54</definedName>
    <definedName name="CompareTennesseeOutputHIXPTC">[1]Calc1!$N$462:$HF$462</definedName>
    <definedName name="CompareTennesseeOutputInterval">[1]Calc1!$N$2:$HF$2</definedName>
    <definedName name="CompareTennesseeOutputLIHEAP">[1]Calc1!$N$711:$HF$711</definedName>
    <definedName name="CompareTennesseeOutputMedicaid">[1]Calc1!$N$375:$HF$375</definedName>
    <definedName name="CompareTennesseeOutputMedicaidAndCHIP">CompareTennesseeOutputMedicaid + CompareTennesseeOutputCHIP</definedName>
    <definedName name="CompareTennesseeOutputMomHourlyWage">[1]Calc1!$N$10:$HF$10</definedName>
    <definedName name="CompareTennesseeOutputMomWeeklyHours">[1]Calc1!$N$5:$HF$5</definedName>
    <definedName name="CompareTennesseeOutputSec8Entry">[1]Calc1!$N$685:$HF$685</definedName>
    <definedName name="CompareTennesseeOutputSec8Extended">[1]Calc1!$N$690:$HF$690</definedName>
    <definedName name="CompareTennesseeOutputSec8Final">[1]Calc1!$N$688:$HF$688</definedName>
    <definedName name="CompareTennesseeOutputSNAP">[1]Calc1!$N$313:$HF$313</definedName>
    <definedName name="CompareTennesseeOutputSSI">[1]Calc1!$N$280:$HF$280</definedName>
    <definedName name="CompareTennesseeOutputStackPlusCashAssistance">CompareTennesseeOutputStackPlusRefundableTaxCredits + CompareTennesseeOutputComboCashAssistance</definedName>
    <definedName name="CompareTennesseeOutputStackPlusChildCareFinal">CompareTennesseeOutputStackPlusMedicalAssistance + CompareTennesseeOutputChildCareSubsidyFinal</definedName>
    <definedName name="CompareTennesseeOutputStackPlusFoodAssistance">CompareTennesseeOutputStackPlusCashAssistance + CompareTennesseeOutputComboFoodAssistance</definedName>
    <definedName name="CompareTennesseeOutputStackPlusHIXPTC">CompareTennesseeOutputStackPlusMedicaidAndCHIP + CompareTennesseeOutputHIXPTC</definedName>
    <definedName name="CompareTennesseeOutputStackPlusMedicaidAndCHIP">CompareTennesseeOutputStackPlusFoodAssistance + CompareTennesseeOutputMedicaid + CompareTennesseeOutputCHIP</definedName>
    <definedName name="CompareTennesseeOutputStackPlusMedicalAssistance">CompareTennesseeOutputStackPlusFoodAssistance + CompareTennesseeOutputComboMedicalAssistance</definedName>
    <definedName name="CompareTennesseeOutputStackPlusRefundableTaxCredits">CompareTennesseeOutputComboNetEarnings+CompareTennesseeOutputComboRefundableTaxCredits</definedName>
    <definedName name="CompareTennesseeOutputStackPlusSec8Entry">CompareTennesseeOutputStackPlusChildCareFinal + CompareTennesseeOutputSec8Entry</definedName>
    <definedName name="CompareTennesseeOutputStackPlusSec8Entry_Graph">CompareTennesseeOutputStackPlusChildCareFinal + CompareTennesseeOutputSec8Final</definedName>
    <definedName name="CompareTennesseeOutputStackPlusSec8Extended">CompareTennesseeOutputStackPlusSec8Entry + CompareTennesseeOutputSec8Extended</definedName>
    <definedName name="CompareTennesseeOutputStateEITC">[1]Calc1!$N$221:$HF$221</definedName>
    <definedName name="CompareTennesseeOutputStateTax">[1]Calc1!$N$206:$HF$206</definedName>
    <definedName name="CompareTennesseeOutputSubsidizedSchoolMeals">[1]Calc1!$N$346:$HF$346</definedName>
    <definedName name="CompareTennesseeOutputTANF">[1]Calc1!$N$267:$HF$267</definedName>
    <definedName name="CompareTennesseeOutputWIC">[1]Calc1!$N$335:$HF$335</definedName>
    <definedName name="CompareTexasAdjusted_Gross_Income">[1]Calc1!$N$66:INDEX([1]Calc1!$N$66:$HH$66,COUNTIF([1]Calc1!$N$66:$HH$66,”&lt;&gt;”&amp;””))</definedName>
    <definedName name="CompareTexasHousehold_Annual_Earned_Income">[1]Calc1!$N$46:INDEX([1]Calc1!$N$46:$HH$46,COUNTIF([1]Calc1!$N$46:$HH$46,”&lt;&gt;”&amp;””))</definedName>
    <definedName name="CompareTexasHousehold_Annual_Income">[1]Calc1!$N$50:INDEX([1]Calc1!$N$50:$HH$50,COUNTIF([1]Calc1!$N$50:$HH$50,”&lt;&gt;”&amp;””))</definedName>
    <definedName name="CompareTexasHousehold_Annual_Unearned_Income">[1]Calc1!$N$48:INDEX([1]Calc1!$N$48:$HH$48,COUNTIF([1]Calc1!$N$48:$HH$48,”&lt;&gt;”&amp;””))</definedName>
    <definedName name="CompareTexasHousehold_Monthly_Earned_Income">[1]Calc1!$N$45:INDEX([1]Calc1!$N$45:$HH$45,COUNTIF([1]Calc1!$N$45:$HH$45,”&lt;&gt;”&amp;””))</definedName>
    <definedName name="CompareTexasHousehold_Monthly_Income">[1]Calc1!$N$49:INDEX([1]Calc1!$N$49:$HH$49,COUNTIF([1]Calc1!$N$49:$HH$49,”&lt;&gt;”&amp;””))</definedName>
    <definedName name="CompareTexasHousehold_Monthly_Unearned_Income">[1]Calc1!$N$47:INDEX([1]Calc1!$N$47:$HH$47,COUNTIF([1]Calc1!$N$47:$HH$47,”&lt;&gt;”&amp;””))</definedName>
    <definedName name="CompareTexasOutputACTC">[1]Calc1!$N$140:$HF$140</definedName>
    <definedName name="CompareTexasOutputChildCareSubsidyFinal">[1]Calc1!$N$588:$HF$588</definedName>
    <definedName name="CompareTexasOutputCHIP">[1]Calc1!$N$419:$HF$419</definedName>
    <definedName name="CompareTexasOutputComboCashAssistance">CompareTexasOutputTANF + CompareTexasOutputSSI + CompareTexasOutputLIHEAP</definedName>
    <definedName name="CompareTexasOutputComboFoodAssistance">CompareTexasOutputSNAP + CompareTexasOutputWIC + CompareTexasOutputSubsidizedSchoolMeals</definedName>
    <definedName name="CompareTexasOutputComboMedicalAssistance">CompareTexasOutputMedicaid + CompareTexasOutputCHIP + CompareTexasOutputHIXPTC</definedName>
    <definedName name="CompareTexasOutputComboNetEarnings">CompareTexasAdjusted_Gross_Income - CompareTexasOutputFICA - CompareTexasOutputFedTax - CompareTexasOutputStateTax</definedName>
    <definedName name="CompareTexasOutputComboRefundableTaxCredits">CompareTexasOutputEITC + CompareTexasOutputACTC + CompareTexasOutputStateEITC + CompareTexasOutputCTC</definedName>
    <definedName name="CompareTexasOutputCTC">[1]Calc1!$N$108:$HF$108</definedName>
    <definedName name="CompareTexasOutputEITC">[1]Calc1!$N$122:$HF$122</definedName>
    <definedName name="CompareTexasOutputFedTax">[1]Calc1!$N$102:$HF$102</definedName>
    <definedName name="CompareTexasOutputFICA">[1]Calc1!$N$54:$HF$54</definedName>
    <definedName name="CompareTexasOutputHIXPTC">[1]Calc1!$N$462:$HF$462</definedName>
    <definedName name="CompareTexasOutputInterval">[1]Calc1!$N$2:$HF$2</definedName>
    <definedName name="CompareTexasOutputLIHEAP">[1]Calc1!$N$711:$HF$711</definedName>
    <definedName name="CompareTexasOutputMedicaid">[1]Calc1!$N$375:$HF$375</definedName>
    <definedName name="CompareTexasOutputMedicaidAndCHIP">CompareTexasOutputMedicaid + CompareTexasOutputCHIP</definedName>
    <definedName name="CompareTexasOutputMomHourlyWage">[1]Calc1!$N$10:$HF$10</definedName>
    <definedName name="CompareTexasOutputMomWeeklyHours">[1]Calc1!$N$5:$HF$5</definedName>
    <definedName name="CompareTexasOutputSec8Entry">[1]Calc1!$N$685:$HF$685</definedName>
    <definedName name="CompareTexasOutputSec8Extended">[1]Calc1!$N$690:$HF$690</definedName>
    <definedName name="CompareTexasOutputSec8Final">[1]Calc1!$N$688:$HF$688</definedName>
    <definedName name="CompareTexasOutputSNAP">[1]Calc1!$N$313:$HF$313</definedName>
    <definedName name="CompareTexasOutputSSI">[1]Calc1!$N$280:$HF$280</definedName>
    <definedName name="CompareTexasOutputStackPlusCashAssistance">CompareTexasOutputStackPlusRefundableTaxCredits + CompareTexasOutputComboCashAssistance</definedName>
    <definedName name="CompareTexasOutputStackPlusChildCareFinal">CompareTexasOutputStackPlusMedicalAssistance + CompareTexasOutputChildCareSubsidyFinal</definedName>
    <definedName name="CompareTexasOutputStackPlusFoodAssistance">CompareTexasOutputStackPlusCashAssistance + CompareTexasOutputComboFoodAssistance</definedName>
    <definedName name="CompareTexasOutputStackPlusHIXPTC">CompareTexasOutputStackPlusMedicaidAndCHIP + CompareTexasOutputHIXPTC</definedName>
    <definedName name="CompareTexasOutputStackPlusMedicaidAndCHIP">CompareTexasOutputStackPlusFoodAssistance + CompareTexasOutputMedicaid + CompareTexasOutputCHIP</definedName>
    <definedName name="CompareTexasOutputStackPlusMedicalAssistance">CompareTexasOutputStackPlusFoodAssistance + CompareTexasOutputComboMedicalAssistance</definedName>
    <definedName name="CompareTexasOutputStackPlusRefundableTaxCredits">CompareTexasOutputComboNetEarnings+CompareTexasOutputComboRefundableTaxCredits</definedName>
    <definedName name="CompareTexasOutputStackPlusSec8Entry">CompareTexasOutputStackPlusChildCareFinal + CompareTexasOutputSec8Entry</definedName>
    <definedName name="CompareTexasOutputStackPlusSec8Entry_Graph">CompareTexasOutputStackPlusChildCareFinal + CompareTexasOutputSec8Final</definedName>
    <definedName name="CompareTexasOutputStackPlusSec8Extended">CompareTexasOutputStackPlusSec8Entry + CompareTexasOutputSec8Extended</definedName>
    <definedName name="CompareTexasOutputStateEITC">[1]Calc1!$N$221:$HF$221</definedName>
    <definedName name="CompareTexasOutputStateTax">[1]Calc1!$N$206:$HF$206</definedName>
    <definedName name="CompareTexasOutputSubsidizedSchoolMeals">[1]Calc1!$N$346:$HF$346</definedName>
    <definedName name="CompareTexasOutputTANF">[1]Calc1!$N$267:$HF$267</definedName>
    <definedName name="CompareTexasOutputWIC">[1]Calc1!$N$335:$HF$335</definedName>
    <definedName name="FICAlist">[1]!FICAtbl[#Headers]</definedName>
    <definedName name="GeorgiaLowIncomeTaxCredit">[2]GAIncTax!$B$71:$J$76</definedName>
    <definedName name="Household_Annual_Earned_Income">[1]Calc1!$N$46:INDEX([1]Calc1!$N$46:$HH$46,COUNTIF([1]Calc1!$N$46:$HH$46,”&lt;&gt;”&amp;””))</definedName>
    <definedName name="Household_Annual_Income">[1]Calc1!$N$50:INDEX([1]Calc1!$N$50:$HH$50,COUNTIF([1]Calc1!$N$50:$HH$50,”&lt;&gt;”&amp;””))</definedName>
    <definedName name="Household_Annual_Unearned_Income">[1]Calc1!$N$48:INDEX([1]Calc1!$N$48:$HH$48,COUNTIF([1]Calc1!$N$48:$HH$48,”&lt;&gt;”&amp;””))</definedName>
    <definedName name="Household_Monthly_Earned_Income">[1]Calc1!$N$45:INDEX([1]Calc1!$N$45:$HH$45,COUNTIF([1]Calc1!$N$45:$HH$45,”&lt;&gt;”&amp;””))</definedName>
    <definedName name="Household_Monthly_Income">[1]Calc1!$N$49:INDEX([1]Calc1!$N$49:$HH$49,COUNTIF([1]Calc1!$N$49:$HH$49,”&lt;&gt;”&amp;””))</definedName>
    <definedName name="Household_Monthly_Unearned_Income">[1]Calc1!$N$47:INDEX([1]Calc1!$N$47:$HH$47,COUNTIF([1]Calc1!$N$47:$HH$47,”&lt;&gt;”&amp;””))</definedName>
    <definedName name="HouseholdMember1AnnualIncome">[1]Calc1!$N$6:$HF$6</definedName>
    <definedName name="HouseholdMember2AnnualIncome">[1]Calc1!$N$7:$HF$7</definedName>
    <definedName name="Income_Exclusions">[1]!Table86[#All]</definedName>
    <definedName name="InputDadAge">[1]Inputs!$D$12</definedName>
    <definedName name="InputMarried">[1]Inputs!#REF!</definedName>
    <definedName name="InputMom">[1]Inputs!$C$11</definedName>
    <definedName name="InputMomAge">[1]Inputs!$D$11</definedName>
    <definedName name="InputMomPregnant">[1]Inputs!$H$11:$H$14</definedName>
    <definedName name="InputStateName">[1]Inputs!$C$6</definedName>
    <definedName name="InputYear">[1]Inputs!$C$5</definedName>
    <definedName name="LIEAP_Fuel_Type">[1]!Table93[[#All],[LIEAP Fuel Type]]</definedName>
    <definedName name="OnACTC">[1]Inputs!$D$33</definedName>
    <definedName name="OnCHIP">[1]Inputs!$D$40</definedName>
    <definedName name="OnCTC">[1]Inputs!$D$32</definedName>
    <definedName name="OnEITC">[1]Inputs!$D$30</definedName>
    <definedName name="OnFedTax">[1]Inputs!$D$28</definedName>
    <definedName name="OnFICA">[1]Inputs!$D$27</definedName>
    <definedName name="OnHIX_PTC">[1]Inputs!$D$41</definedName>
    <definedName name="OnLIHEAP">[1]Inputs!$D$44</definedName>
    <definedName name="OnMedicaid">[1]Inputs!$D$39</definedName>
    <definedName name="OnPandemic">[1]Inputs!$D$26</definedName>
    <definedName name="OnSchoolMealsSubsidy">[1]Inputs!$D$37</definedName>
    <definedName name="OnSec8_Housing">[1]Inputs!$D$43</definedName>
    <definedName name="OnSNAP">[1]Inputs!$D$36</definedName>
    <definedName name="OnSSI">[1]Inputs!$D$35</definedName>
    <definedName name="OnstateEITC">[1]Inputs!$D$31</definedName>
    <definedName name="OnStateTax">[1]Inputs!$D$29</definedName>
    <definedName name="OnSubsidizedChildcare">[1]Inputs!$D$42</definedName>
    <definedName name="OnTANF">[1]Inputs!$D$34</definedName>
    <definedName name="OnWIC">[1]Inputs!$D$38</definedName>
    <definedName name="OutputACTC">[1]Calc1!$N$140:$HF$140</definedName>
    <definedName name="OutputChildCareSubsidyFinal">[1]Calc1!$N$588:$HF$588</definedName>
    <definedName name="OutputCHIP">[1]Calc1!$N$419:$HF$419</definedName>
    <definedName name="OutputComboCashAssistance">OutputTANF + OutputSSI + OutputLIHEAP</definedName>
    <definedName name="OutputComboFoodAssistance">OutputSNAP + OutputWIC + OutputSubsidizedSchoolMeals</definedName>
    <definedName name="OutputComboMedicalAssistance">OutputMedicaid + OutputCHIP + OutputHIXPTC</definedName>
    <definedName name="OutputComboNetEarnings">Adjusted_Gross_Income - OutputFICA - OutputFedTax - OutputStateTax</definedName>
    <definedName name="OutputComboRefundableTaxCredits">OutputEITC + OutputACTC + OutputStateEITC + OutputCTC</definedName>
    <definedName name="OutputCTC">[1]Calc1!$N$108:$HF$108</definedName>
    <definedName name="OutputEarnings">[1]Calc1!$N$46:$HF$46</definedName>
    <definedName name="OutputEITC">[1]Calc1!$N$122:$HF$122</definedName>
    <definedName name="OutputFedTax">[1]Calc1!$N$102:$HF$102</definedName>
    <definedName name="OutputFICA">[1]Calc1!$N$54:$HF$54</definedName>
    <definedName name="OutputHIXPTC">[1]Calc1!$N$462:$HF$462</definedName>
    <definedName name="OutputInterval">[1]Calc1!$N$2:$HF$2</definedName>
    <definedName name="OutputLIHEAP">[1]Calc1!$N$711:$HF$711</definedName>
    <definedName name="OutputMedicaid">[1]Calc1!$N$375:$HF$375</definedName>
    <definedName name="OutputMedicaidAndCHIP">OutputMedicaid + OutputCHIP</definedName>
    <definedName name="OutputMomHourlyWage">[1]Calc1!$N$10:$HF$10</definedName>
    <definedName name="OutputMomWeeklyHours">[1]Calc1!$N$5:$HF$5</definedName>
    <definedName name="OutputSec8Entry">[1]Calc1!$N$685:$HF$685</definedName>
    <definedName name="OutputSec8Extended">[1]Calc1!$N$690:$HF$690</definedName>
    <definedName name="OutputSec8Final">[1]Calc1!$N$688:$HF$688</definedName>
    <definedName name="OutputSNAP">[1]Calc1!$N$313:$HF$313</definedName>
    <definedName name="OutputSSI">[1]Calc1!$N$280:$HF$280</definedName>
    <definedName name="OutputStackPlusCashAssistance">OutputStackPlusRefundableTaxCredits + OutputComboCashAssistance</definedName>
    <definedName name="OutputStackPlusChildCareFinal">OutputStackPlusMedicalAssistance + OutputChildCareSubsidyFinal</definedName>
    <definedName name="OutputStackPlusFoodAssistance">OutputStackPlusCashAssistance + OutputComboFoodAssistance</definedName>
    <definedName name="OutputStackPlusHIXPTC">OutputStackPlusMedicaidAndCHIP + OutputHIXPTC</definedName>
    <definedName name="OutputStackPlusMedicaidAndCHIP">OutputStackPlusFoodAssistance + OutputMedicaid + OutputCHIP</definedName>
    <definedName name="OutputStackPlusMedicalAssistance">OutputStackPlusFoodAssistance + OutputComboMedicalAssistance</definedName>
    <definedName name="OutputStackPlusRefundableTaxCredits">OutputComboNetEarnings+OutputComboRefundableTaxCredits</definedName>
    <definedName name="OutputStackPlusSec8Entry">OutputStackPlusChildCareFinal + OutputSec8Entry</definedName>
    <definedName name="OutputStackPlusSec8Entry_Graph">OutputStackPlusChildCareFinal + OutputSec8Final</definedName>
    <definedName name="OutputStackPlusSec8Extended">OutputStackPlusSec8Entry + OutputSec8Extended</definedName>
    <definedName name="OutputStateEITC">[1]Calc1!$N$221:$HF$221</definedName>
    <definedName name="OutputStateTax">[1]Calc1!$N$206:$HF$206</definedName>
    <definedName name="OutputSubsidizedSchoolMeals">[1]Calc1!$N$346:$HF$346</definedName>
    <definedName name="OutputTANF">[1]Calc1!$N$267:$HF$267</definedName>
    <definedName name="OutputWIC">[1]Calc1!$N$335:$HF$335</definedName>
    <definedName name="Sex">[1]Lists!$D$15:$D$16</definedName>
    <definedName name="Social_Security_Income_Deductions">[1]!Table89[#All]</definedName>
    <definedName name="State_List">[1]!StateAreasTbl[#Headers]</definedName>
    <definedName name="StateColNum">MATCH(InputStateName,State_List,0)</definedName>
    <definedName name="StateEntireCol">INDEX([1]!StateAreasTbl[#Data],,StateColNum)</definedName>
    <definedName name="StateLookup2">INDEX([1]!StateAreasTbl[#Data],1,StateColNum):INDEX([1]!StateAreasTbl[#Data],COUNTA(StateEntireCol),StateColNum)</definedName>
    <definedName name="SubdivisionName">[1]Inputs!$C$7</definedName>
    <definedName name="YesNo">[1]Lists!$D$10:$D$11</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41" i="1" l="1" a="1"/>
  <c r="L441" i="1" s="1"/>
  <c r="H416" i="1" l="1" a="1"/>
  <c r="H416" i="1" s="1"/>
  <c r="G441" i="1" a="1"/>
  <c r="G441" i="1" s="1"/>
  <c r="G421" i="1" a="1"/>
  <c r="G421" i="1" s="1"/>
  <c r="G416" i="1" a="1"/>
  <c r="G416" i="1" s="1"/>
  <c r="G406" i="1" a="1"/>
  <c r="G406" i="1" s="1"/>
  <c r="H451" i="1" a="1"/>
  <c r="H451" i="1" s="1"/>
  <c r="G451" i="1" a="1"/>
  <c r="G451" i="1" s="1"/>
  <c r="H446" i="1" a="1"/>
  <c r="H446" i="1" s="1"/>
  <c r="G446" i="1" a="1"/>
  <c r="G446" i="1" s="1"/>
  <c r="H441" i="1" a="1"/>
  <c r="H441" i="1" s="1"/>
  <c r="H431" i="1" a="1"/>
  <c r="H431" i="1" s="1"/>
  <c r="G431" i="1" a="1"/>
  <c r="G431" i="1" s="1"/>
  <c r="H421" i="1" a="1"/>
  <c r="H421" i="1" s="1"/>
  <c r="H406" i="1" a="1"/>
  <c r="H406" i="1" s="1"/>
  <c r="I404" i="1" a="1"/>
  <c r="I404" i="1" s="1"/>
  <c r="L56" i="3"/>
  <c r="I406" i="1" a="1"/>
  <c r="I406" i="1" s="1"/>
  <c r="AF20" i="4"/>
  <c r="AH20" i="4"/>
  <c r="AI20" i="4"/>
  <c r="AF21" i="4"/>
  <c r="AH21" i="4"/>
  <c r="AI21" i="4"/>
  <c r="AI25" i="4"/>
  <c r="AI24" i="4"/>
  <c r="AF24" i="4"/>
  <c r="O22" i="4"/>
  <c r="AI23" i="4"/>
  <c r="AF23" i="4"/>
  <c r="O21" i="4"/>
  <c r="AI22" i="4"/>
  <c r="AH22" i="4"/>
  <c r="AF22" i="4"/>
  <c r="O20" i="4"/>
  <c r="X377" i="1"/>
  <c r="Y377" i="1"/>
  <c r="X378" i="1"/>
  <c r="Y378" i="1"/>
  <c r="X379" i="1"/>
  <c r="Y379" i="1"/>
  <c r="X380" i="1"/>
  <c r="Y380" i="1"/>
  <c r="X381" i="1"/>
  <c r="Y381" i="1"/>
  <c r="X382" i="1"/>
  <c r="Y382" i="1"/>
  <c r="W382" i="1"/>
  <c r="W378" i="1"/>
  <c r="W379" i="1"/>
  <c r="W380" i="1"/>
  <c r="W381" i="1"/>
  <c r="W377" i="1"/>
  <c r="AJ21" i="4" l="1"/>
  <c r="F103" i="3" s="1"/>
  <c r="H105" i="3"/>
  <c r="F101" i="3"/>
  <c r="F99" i="3"/>
  <c r="F97" i="3"/>
  <c r="C95" i="3"/>
  <c r="C93" i="3"/>
  <c r="C41" i="3" s="1"/>
  <c r="C91" i="3"/>
  <c r="C39" i="3" s="1"/>
  <c r="C89" i="3"/>
  <c r="C37" i="3" s="1"/>
  <c r="H86" i="3"/>
  <c r="H34" i="3" s="1"/>
  <c r="H84" i="3"/>
  <c r="H32" i="3" s="1"/>
  <c r="H82" i="3"/>
  <c r="H80" i="3"/>
  <c r="G76" i="3"/>
  <c r="G74" i="3"/>
  <c r="G72" i="3"/>
  <c r="F70" i="3"/>
  <c r="F68" i="3"/>
  <c r="F16" i="3" s="1"/>
  <c r="F66" i="3"/>
  <c r="F14" i="3" s="1"/>
  <c r="E62" i="3"/>
  <c r="E10" i="3" s="1"/>
  <c r="E60" i="3"/>
  <c r="E8" i="3" s="1"/>
  <c r="E58" i="3"/>
  <c r="E56" i="3"/>
  <c r="D54" i="3"/>
  <c r="E103" i="3"/>
  <c r="E101" i="3"/>
  <c r="E99" i="3"/>
  <c r="D97" i="3"/>
  <c r="H94" i="3"/>
  <c r="H42" i="3" s="1"/>
  <c r="H92" i="3"/>
  <c r="H40" i="3" s="1"/>
  <c r="H90" i="3"/>
  <c r="H38" i="3" s="1"/>
  <c r="H88" i="3"/>
  <c r="H36" i="3" s="1"/>
  <c r="G86" i="3"/>
  <c r="G34" i="3" s="1"/>
  <c r="G84" i="3"/>
  <c r="G82" i="3"/>
  <c r="F78" i="3"/>
  <c r="F76" i="3"/>
  <c r="F74" i="3"/>
  <c r="F72" i="3"/>
  <c r="E70" i="3"/>
  <c r="E18" i="3" s="1"/>
  <c r="E68" i="3"/>
  <c r="E16" i="3" s="1"/>
  <c r="E66" i="3"/>
  <c r="E14" i="3" s="1"/>
  <c r="D64" i="3"/>
  <c r="D62" i="3"/>
  <c r="D10" i="3" s="1"/>
  <c r="D60" i="3"/>
  <c r="D58" i="3"/>
  <c r="C54" i="3"/>
  <c r="C105" i="3"/>
  <c r="H102" i="3"/>
  <c r="H100" i="3"/>
  <c r="H98" i="3"/>
  <c r="H46" i="3" s="1"/>
  <c r="G96" i="3"/>
  <c r="G44" i="3" s="1"/>
  <c r="E94" i="3"/>
  <c r="E42" i="3" s="1"/>
  <c r="E92" i="3"/>
  <c r="E40" i="3" s="1"/>
  <c r="E90" i="3"/>
  <c r="E38" i="3" s="1"/>
  <c r="D88" i="3"/>
  <c r="D86" i="3"/>
  <c r="D82" i="3"/>
  <c r="D80" i="3"/>
  <c r="C78" i="3"/>
  <c r="C76" i="3"/>
  <c r="C74" i="3"/>
  <c r="C22" i="3" s="1"/>
  <c r="C72" i="3"/>
  <c r="C20" i="3" s="1"/>
  <c r="H69" i="3"/>
  <c r="H17" i="3" s="1"/>
  <c r="H67" i="3"/>
  <c r="H15" i="3" s="1"/>
  <c r="H65" i="3"/>
  <c r="H13" i="3" s="1"/>
  <c r="G63" i="3"/>
  <c r="G61" i="3"/>
  <c r="G57" i="3"/>
  <c r="G55" i="3"/>
  <c r="H104" i="3"/>
  <c r="G102" i="3"/>
  <c r="G100" i="3"/>
  <c r="G48" i="3" s="1"/>
  <c r="G98" i="3"/>
  <c r="F96" i="3"/>
  <c r="F44" i="3" s="1"/>
  <c r="D94" i="3"/>
  <c r="D42" i="3" s="1"/>
  <c r="D92" i="3"/>
  <c r="D40" i="3" s="1"/>
  <c r="D90" i="3"/>
  <c r="C88" i="3"/>
  <c r="C84" i="3"/>
  <c r="C82" i="3"/>
  <c r="C80" i="3"/>
  <c r="H77" i="3"/>
  <c r="H75" i="3"/>
  <c r="H23" i="3" s="1"/>
  <c r="H73" i="3"/>
  <c r="H21" i="3" s="1"/>
  <c r="H71" i="3"/>
  <c r="H19" i="3" s="1"/>
  <c r="G69" i="3"/>
  <c r="G17" i="3" s="1"/>
  <c r="G67" i="3"/>
  <c r="G15" i="3" s="1"/>
  <c r="G65" i="3"/>
  <c r="F63" i="3"/>
  <c r="F59" i="3"/>
  <c r="F57" i="3"/>
  <c r="F55" i="3"/>
  <c r="F105" i="3"/>
  <c r="D102" i="3"/>
  <c r="D50" i="3" s="1"/>
  <c r="D99" i="3"/>
  <c r="H95" i="3"/>
  <c r="H43" i="3" s="1"/>
  <c r="G92" i="3"/>
  <c r="G40" i="3" s="1"/>
  <c r="G89" i="3"/>
  <c r="G37" i="3" s="1"/>
  <c r="F86" i="3"/>
  <c r="F83" i="3"/>
  <c r="E77" i="3"/>
  <c r="E74" i="3"/>
  <c r="D71" i="3"/>
  <c r="D68" i="3"/>
  <c r="C65" i="3"/>
  <c r="C13" i="3" s="1"/>
  <c r="F62" i="3"/>
  <c r="F10" i="3" s="1"/>
  <c r="D59" i="3"/>
  <c r="D7" i="3" s="1"/>
  <c r="F56" i="3"/>
  <c r="F4" i="3" s="1"/>
  <c r="D105" i="3"/>
  <c r="D53" i="3" s="1"/>
  <c r="C102" i="3"/>
  <c r="C99" i="3"/>
  <c r="F92" i="3"/>
  <c r="F89" i="3"/>
  <c r="E86" i="3"/>
  <c r="E83" i="3"/>
  <c r="E80" i="3"/>
  <c r="D77" i="3"/>
  <c r="D25" i="3" s="1"/>
  <c r="D74" i="3"/>
  <c r="D22" i="3" s="1"/>
  <c r="C71" i="3"/>
  <c r="C19" i="3" s="1"/>
  <c r="C68" i="3"/>
  <c r="C16" i="3" s="1"/>
  <c r="H64" i="3"/>
  <c r="C62" i="3"/>
  <c r="C56" i="3"/>
  <c r="G104" i="3"/>
  <c r="H101" i="3"/>
  <c r="F98" i="3"/>
  <c r="F95" i="3"/>
  <c r="C92" i="3"/>
  <c r="C40" i="3" s="1"/>
  <c r="E89" i="3"/>
  <c r="E37" i="3" s="1"/>
  <c r="H85" i="3"/>
  <c r="H33" i="3" s="1"/>
  <c r="D83" i="3"/>
  <c r="D31" i="3" s="1"/>
  <c r="H79" i="3"/>
  <c r="C77" i="3"/>
  <c r="H70" i="3"/>
  <c r="F67" i="3"/>
  <c r="G64" i="3"/>
  <c r="H58" i="3"/>
  <c r="H55" i="3"/>
  <c r="H3" i="3" s="1"/>
  <c r="F64" i="3"/>
  <c r="D101" i="3"/>
  <c r="D49" i="3" s="1"/>
  <c r="F79" i="3"/>
  <c r="E73" i="3"/>
  <c r="D70" i="3"/>
  <c r="D67" i="3"/>
  <c r="F104" i="3"/>
  <c r="G101" i="3"/>
  <c r="E98" i="3"/>
  <c r="D95" i="3"/>
  <c r="H91" i="3"/>
  <c r="H39" i="3" s="1"/>
  <c r="D89" i="3"/>
  <c r="D37" i="3" s="1"/>
  <c r="G85" i="3"/>
  <c r="G33" i="3" s="1"/>
  <c r="C83" i="3"/>
  <c r="C31" i="3" s="1"/>
  <c r="G79" i="3"/>
  <c r="H76" i="3"/>
  <c r="F73" i="3"/>
  <c r="E67" i="3"/>
  <c r="E61" i="3"/>
  <c r="G58" i="3"/>
  <c r="D55" i="3"/>
  <c r="D104" i="3"/>
  <c r="D52" i="3" s="1"/>
  <c r="D98" i="3"/>
  <c r="G94" i="3"/>
  <c r="G42" i="3" s="1"/>
  <c r="G91" i="3"/>
  <c r="G39" i="3" s="1"/>
  <c r="G88" i="3"/>
  <c r="F85" i="3"/>
  <c r="F82" i="3"/>
  <c r="C104" i="3"/>
  <c r="H103" i="3"/>
  <c r="G99" i="3"/>
  <c r="F93" i="3"/>
  <c r="G87" i="3"/>
  <c r="G35" i="3" s="1"/>
  <c r="E82" i="3"/>
  <c r="E30" i="3" s="1"/>
  <c r="G77" i="3"/>
  <c r="G25" i="3" s="1"/>
  <c r="E72" i="3"/>
  <c r="E20" i="3" s="1"/>
  <c r="H66" i="3"/>
  <c r="H14" i="3" s="1"/>
  <c r="H62" i="3"/>
  <c r="H57" i="3"/>
  <c r="G103" i="3"/>
  <c r="C98" i="3"/>
  <c r="E93" i="3"/>
  <c r="F87" i="3"/>
  <c r="H81" i="3"/>
  <c r="H29" i="3" s="1"/>
  <c r="F77" i="3"/>
  <c r="F25" i="3" s="1"/>
  <c r="D72" i="3"/>
  <c r="D20" i="3" s="1"/>
  <c r="G66" i="3"/>
  <c r="G14" i="3" s="1"/>
  <c r="G62" i="3"/>
  <c r="G10" i="3" s="1"/>
  <c r="E57" i="3"/>
  <c r="D103" i="3"/>
  <c r="D93" i="3"/>
  <c r="E87" i="3"/>
  <c r="G81" i="3"/>
  <c r="D76" i="3"/>
  <c r="D24" i="3" s="1"/>
  <c r="G71" i="3"/>
  <c r="G19" i="3" s="1"/>
  <c r="D66" i="3"/>
  <c r="D14" i="3" s="1"/>
  <c r="D61" i="3"/>
  <c r="D9" i="3" s="1"/>
  <c r="D57" i="3"/>
  <c r="D5" i="3" s="1"/>
  <c r="O54" i="3"/>
  <c r="C103" i="3"/>
  <c r="G97" i="3"/>
  <c r="D87" i="3"/>
  <c r="F81" i="3"/>
  <c r="G75" i="3"/>
  <c r="F71" i="3"/>
  <c r="F19" i="3" s="1"/>
  <c r="C66" i="3"/>
  <c r="C14" i="3" s="1"/>
  <c r="C61" i="3"/>
  <c r="C9" i="3" s="1"/>
  <c r="C57" i="3"/>
  <c r="C5" i="3" s="1"/>
  <c r="K56" i="3"/>
  <c r="F102" i="3"/>
  <c r="F50" i="3" s="1"/>
  <c r="C97" i="3"/>
  <c r="E91" i="3"/>
  <c r="E81" i="3"/>
  <c r="E102" i="3"/>
  <c r="H93" i="3"/>
  <c r="F84" i="3"/>
  <c r="F32" i="3" s="1"/>
  <c r="E75" i="3"/>
  <c r="E23" i="3" s="1"/>
  <c r="H68" i="3"/>
  <c r="H16" i="3" s="1"/>
  <c r="G60" i="3"/>
  <c r="G8" i="3" s="1"/>
  <c r="F54" i="3"/>
  <c r="C101" i="3"/>
  <c r="C49" i="3" s="1"/>
  <c r="G93" i="3"/>
  <c r="E84" i="3"/>
  <c r="G68" i="3"/>
  <c r="F60" i="3"/>
  <c r="E54" i="3"/>
  <c r="L54" i="3" s="1"/>
  <c r="E100" i="3"/>
  <c r="E48" i="3" s="1"/>
  <c r="H99" i="3"/>
  <c r="H47" i="3" s="1"/>
  <c r="H89" i="3"/>
  <c r="H37" i="3" s="1"/>
  <c r="D79" i="3"/>
  <c r="H72" i="3"/>
  <c r="H20" i="3" s="1"/>
  <c r="C64" i="3"/>
  <c r="C12" i="3" s="1"/>
  <c r="C58" i="3"/>
  <c r="H96" i="3"/>
  <c r="C79" i="3"/>
  <c r="C70" i="3"/>
  <c r="H63" i="3"/>
  <c r="H56" i="3"/>
  <c r="H4" i="3" s="1"/>
  <c r="D96" i="3"/>
  <c r="D44" i="3" s="1"/>
  <c r="H87" i="3"/>
  <c r="H35" i="3" s="1"/>
  <c r="H78" i="3"/>
  <c r="H26" i="3" s="1"/>
  <c r="F69" i="3"/>
  <c r="F17" i="3" s="1"/>
  <c r="E63" i="3"/>
  <c r="E11" i="3" s="1"/>
  <c r="G56" i="3"/>
  <c r="C96" i="3"/>
  <c r="E69" i="3"/>
  <c r="D63" i="3"/>
  <c r="C55" i="3"/>
  <c r="C94" i="3"/>
  <c r="C42" i="3" s="1"/>
  <c r="C85" i="3"/>
  <c r="C33" i="3" s="1"/>
  <c r="F75" i="3"/>
  <c r="F23" i="3" s="1"/>
  <c r="C69" i="3"/>
  <c r="C17" i="3" s="1"/>
  <c r="H60" i="3"/>
  <c r="H8" i="3" s="1"/>
  <c r="G54" i="3"/>
  <c r="F100" i="3"/>
  <c r="D91" i="3"/>
  <c r="C75" i="3"/>
  <c r="C67" i="3"/>
  <c r="C60" i="3"/>
  <c r="G90" i="3"/>
  <c r="G38" i="3" s="1"/>
  <c r="G83" i="3"/>
  <c r="G31" i="3" s="1"/>
  <c r="H74" i="3"/>
  <c r="H22" i="3" s="1"/>
  <c r="F65" i="3"/>
  <c r="H59" i="3"/>
  <c r="H7" i="3" s="1"/>
  <c r="D100" i="3"/>
  <c r="D48" i="3" s="1"/>
  <c r="F90" i="3"/>
  <c r="D81" i="3"/>
  <c r="D65" i="3"/>
  <c r="E59" i="3"/>
  <c r="C100" i="3"/>
  <c r="C90" i="3"/>
  <c r="C38" i="3" s="1"/>
  <c r="C81" i="3"/>
  <c r="C29" i="3" s="1"/>
  <c r="C73" i="3"/>
  <c r="C21" i="3" s="1"/>
  <c r="F58" i="3"/>
  <c r="E85" i="3"/>
  <c r="E33" i="3" s="1"/>
  <c r="F94" i="3"/>
  <c r="F42" i="3" s="1"/>
  <c r="D85" i="3"/>
  <c r="D78" i="3"/>
  <c r="C63" i="3"/>
  <c r="H54" i="3"/>
  <c r="AJ20" i="4"/>
  <c r="AJ22" i="4"/>
  <c r="H415" i="1" a="1"/>
  <c r="H415" i="1" s="1"/>
  <c r="AJ23" i="4"/>
  <c r="P22" i="4"/>
  <c r="AG24" i="4"/>
  <c r="AJ24" i="4"/>
  <c r="AJ25" i="4" s="1"/>
  <c r="L468" i="1" a="1"/>
  <c r="L468" i="1" s="1"/>
  <c r="K468" i="1" a="1"/>
  <c r="K468" i="1" s="1"/>
  <c r="J468" i="1" a="1"/>
  <c r="J468" i="1" s="1"/>
  <c r="I468" i="1" a="1"/>
  <c r="I468" i="1" s="1"/>
  <c r="L467" i="1" a="1"/>
  <c r="L467" i="1" s="1"/>
  <c r="K467" i="1" a="1"/>
  <c r="K467" i="1" s="1"/>
  <c r="J467" i="1" a="1"/>
  <c r="J467" i="1" s="1"/>
  <c r="I467" i="1" a="1"/>
  <c r="I467" i="1" s="1"/>
  <c r="L466" i="1" a="1"/>
  <c r="L466" i="1" s="1"/>
  <c r="K466" i="1" a="1"/>
  <c r="K466" i="1" s="1"/>
  <c r="J466" i="1" a="1"/>
  <c r="J466" i="1" s="1"/>
  <c r="I466" i="1" a="1"/>
  <c r="I466" i="1" s="1"/>
  <c r="L465" i="1" a="1"/>
  <c r="L465" i="1" s="1"/>
  <c r="K465" i="1" a="1"/>
  <c r="K465" i="1" s="1"/>
  <c r="J465" i="1" a="1"/>
  <c r="J465" i="1" s="1"/>
  <c r="I465" i="1" a="1"/>
  <c r="I465" i="1" s="1"/>
  <c r="L464" i="1" a="1"/>
  <c r="L464" i="1" s="1"/>
  <c r="K464" i="1" a="1"/>
  <c r="K464" i="1" s="1"/>
  <c r="J464" i="1" a="1"/>
  <c r="J464" i="1" s="1"/>
  <c r="I464" i="1" a="1"/>
  <c r="I464" i="1" s="1"/>
  <c r="L463" i="1" a="1"/>
  <c r="L463" i="1" s="1"/>
  <c r="K463" i="1" a="1"/>
  <c r="K463" i="1" s="1"/>
  <c r="J463" i="1" a="1"/>
  <c r="J463" i="1" s="1"/>
  <c r="I463" i="1" a="1"/>
  <c r="I463" i="1" s="1"/>
  <c r="L462" i="1" a="1"/>
  <c r="L462" i="1" s="1"/>
  <c r="K462" i="1" a="1"/>
  <c r="K462" i="1" s="1"/>
  <c r="J462" i="1" a="1"/>
  <c r="J462" i="1" s="1"/>
  <c r="I462" i="1" a="1"/>
  <c r="I462" i="1" s="1"/>
  <c r="L461" i="1" a="1"/>
  <c r="L461" i="1" s="1"/>
  <c r="K461" i="1" a="1"/>
  <c r="K461" i="1" s="1"/>
  <c r="J461" i="1" a="1"/>
  <c r="J461" i="1" s="1"/>
  <c r="I461" i="1" a="1"/>
  <c r="I461" i="1" s="1"/>
  <c r="L460" i="1" a="1"/>
  <c r="L460" i="1" s="1"/>
  <c r="K460" i="1" a="1"/>
  <c r="K460" i="1" s="1"/>
  <c r="J460" i="1" a="1"/>
  <c r="J460" i="1" s="1"/>
  <c r="I460" i="1" a="1"/>
  <c r="I460" i="1" s="1"/>
  <c r="L459" i="1" a="1"/>
  <c r="L459" i="1" s="1"/>
  <c r="K459" i="1" a="1"/>
  <c r="K459" i="1" s="1"/>
  <c r="J459" i="1" a="1"/>
  <c r="J459" i="1" s="1"/>
  <c r="I459" i="1" a="1"/>
  <c r="I459" i="1" s="1"/>
  <c r="L458" i="1" a="1"/>
  <c r="L458" i="1" s="1"/>
  <c r="K458" i="1" a="1"/>
  <c r="K458" i="1" s="1"/>
  <c r="J458" i="1" a="1"/>
  <c r="J458" i="1" s="1"/>
  <c r="I458" i="1" a="1"/>
  <c r="I458" i="1" s="1"/>
  <c r="L457" i="1" a="1"/>
  <c r="L457" i="1" s="1"/>
  <c r="K457" i="1" a="1"/>
  <c r="K457" i="1" s="1"/>
  <c r="J457" i="1" a="1"/>
  <c r="J457" i="1" s="1"/>
  <c r="I457" i="1" a="1"/>
  <c r="I457" i="1" s="1"/>
  <c r="L456" i="1" a="1"/>
  <c r="L456" i="1" s="1"/>
  <c r="K456" i="1" a="1"/>
  <c r="K456" i="1" s="1"/>
  <c r="J456" i="1" a="1"/>
  <c r="J456" i="1" s="1"/>
  <c r="I456" i="1" a="1"/>
  <c r="I456" i="1" s="1"/>
  <c r="L455" i="1" a="1"/>
  <c r="L455" i="1" s="1"/>
  <c r="K455" i="1" a="1"/>
  <c r="K455" i="1" s="1"/>
  <c r="J455" i="1" a="1"/>
  <c r="J455" i="1" s="1"/>
  <c r="I455" i="1" a="1"/>
  <c r="I455" i="1" s="1"/>
  <c r="L454" i="1" a="1"/>
  <c r="L454" i="1" s="1"/>
  <c r="K454" i="1" a="1"/>
  <c r="K454" i="1" s="1"/>
  <c r="J454" i="1" a="1"/>
  <c r="J454" i="1" s="1"/>
  <c r="I454" i="1" a="1"/>
  <c r="I454" i="1" s="1"/>
  <c r="L453" i="1" a="1"/>
  <c r="L453" i="1" s="1"/>
  <c r="K453" i="1" a="1"/>
  <c r="K453" i="1" s="1"/>
  <c r="J453" i="1" a="1"/>
  <c r="J453" i="1" s="1"/>
  <c r="I453" i="1" a="1"/>
  <c r="I453" i="1" s="1"/>
  <c r="L452" i="1" a="1"/>
  <c r="L452" i="1" s="1"/>
  <c r="K452" i="1" a="1"/>
  <c r="K452" i="1" s="1"/>
  <c r="J452" i="1" a="1"/>
  <c r="J452" i="1" s="1"/>
  <c r="I452" i="1" a="1"/>
  <c r="I452" i="1" s="1"/>
  <c r="L451" i="1" a="1"/>
  <c r="L451" i="1" s="1"/>
  <c r="K451" i="1" a="1"/>
  <c r="K451" i="1" s="1"/>
  <c r="J451" i="1" a="1"/>
  <c r="J451" i="1" s="1"/>
  <c r="I451" i="1" a="1"/>
  <c r="I451" i="1" s="1"/>
  <c r="L450" i="1" a="1"/>
  <c r="L450" i="1" s="1"/>
  <c r="K450" i="1" a="1"/>
  <c r="K450" i="1" s="1"/>
  <c r="J450" i="1" a="1"/>
  <c r="J450" i="1" s="1"/>
  <c r="I450" i="1" a="1"/>
  <c r="I450" i="1" s="1"/>
  <c r="L449" i="1" a="1"/>
  <c r="L449" i="1" s="1"/>
  <c r="K449" i="1" a="1"/>
  <c r="K449" i="1" s="1"/>
  <c r="J449" i="1" a="1"/>
  <c r="J449" i="1" s="1"/>
  <c r="I449" i="1" a="1"/>
  <c r="I449" i="1" s="1"/>
  <c r="L448" i="1" a="1"/>
  <c r="L448" i="1" s="1"/>
  <c r="K448" i="1" a="1"/>
  <c r="K448" i="1" s="1"/>
  <c r="J448" i="1" a="1"/>
  <c r="J448" i="1" s="1"/>
  <c r="I448" i="1" a="1"/>
  <c r="I448" i="1" s="1"/>
  <c r="L447" i="1" a="1"/>
  <c r="L447" i="1" s="1"/>
  <c r="K447" i="1" a="1"/>
  <c r="K447" i="1" s="1"/>
  <c r="J447" i="1" a="1"/>
  <c r="J447" i="1" s="1"/>
  <c r="I447" i="1" a="1"/>
  <c r="I447" i="1" s="1"/>
  <c r="L446" i="1" a="1"/>
  <c r="L446" i="1" s="1"/>
  <c r="K446" i="1" a="1"/>
  <c r="K446" i="1" s="1"/>
  <c r="J446" i="1" a="1"/>
  <c r="J446" i="1" s="1"/>
  <c r="I446" i="1" a="1"/>
  <c r="I446" i="1" s="1"/>
  <c r="L445" i="1" a="1"/>
  <c r="L445" i="1" s="1"/>
  <c r="K445" i="1" a="1"/>
  <c r="K445" i="1" s="1"/>
  <c r="J445" i="1" a="1"/>
  <c r="J445" i="1" s="1"/>
  <c r="I445" i="1" a="1"/>
  <c r="I445" i="1" s="1"/>
  <c r="L444" i="1" a="1"/>
  <c r="L444" i="1" s="1"/>
  <c r="K444" i="1" a="1"/>
  <c r="K444" i="1" s="1"/>
  <c r="J444" i="1" a="1"/>
  <c r="J444" i="1" s="1"/>
  <c r="I444" i="1" a="1"/>
  <c r="I444" i="1" s="1"/>
  <c r="L443" i="1" a="1"/>
  <c r="L443" i="1" s="1"/>
  <c r="K443" i="1" a="1"/>
  <c r="K443" i="1" s="1"/>
  <c r="J443" i="1" a="1"/>
  <c r="J443" i="1" s="1"/>
  <c r="I443" i="1" a="1"/>
  <c r="I443" i="1" s="1"/>
  <c r="L442" i="1" a="1"/>
  <c r="L442" i="1" s="1"/>
  <c r="K442" i="1" a="1"/>
  <c r="K442" i="1" s="1"/>
  <c r="J442" i="1" a="1"/>
  <c r="J442" i="1" s="1"/>
  <c r="I442" i="1" a="1"/>
  <c r="I442" i="1" s="1"/>
  <c r="K441" i="1" a="1"/>
  <c r="K441" i="1" s="1"/>
  <c r="J441" i="1" a="1"/>
  <c r="J441" i="1" s="1"/>
  <c r="I441" i="1" a="1"/>
  <c r="I441" i="1" s="1"/>
  <c r="L440" i="1" a="1"/>
  <c r="L440" i="1" s="1"/>
  <c r="K440" i="1" a="1"/>
  <c r="K440" i="1" s="1"/>
  <c r="J440" i="1" a="1"/>
  <c r="J440" i="1" s="1"/>
  <c r="I440" i="1" a="1"/>
  <c r="I440" i="1" s="1"/>
  <c r="L439" i="1" a="1"/>
  <c r="L439" i="1" s="1"/>
  <c r="K439" i="1" a="1"/>
  <c r="K439" i="1" s="1"/>
  <c r="J439" i="1" a="1"/>
  <c r="J439" i="1" s="1"/>
  <c r="I439" i="1" a="1"/>
  <c r="I439" i="1" s="1"/>
  <c r="L438" i="1" a="1"/>
  <c r="L438" i="1" s="1"/>
  <c r="K438" i="1" a="1"/>
  <c r="K438" i="1" s="1"/>
  <c r="J438" i="1" a="1"/>
  <c r="J438" i="1" s="1"/>
  <c r="I438" i="1" a="1"/>
  <c r="I438" i="1" s="1"/>
  <c r="L437" i="1" a="1"/>
  <c r="L437" i="1" s="1"/>
  <c r="K437" i="1" a="1"/>
  <c r="K437" i="1" s="1"/>
  <c r="J437" i="1" a="1"/>
  <c r="J437" i="1" s="1"/>
  <c r="I437" i="1" a="1"/>
  <c r="I437" i="1" s="1"/>
  <c r="L436" i="1" a="1"/>
  <c r="L436" i="1" s="1"/>
  <c r="K436" i="1" a="1"/>
  <c r="K436" i="1" s="1"/>
  <c r="J436" i="1" a="1"/>
  <c r="J436" i="1" s="1"/>
  <c r="I436" i="1" a="1"/>
  <c r="I436" i="1" s="1"/>
  <c r="L435" i="1" a="1"/>
  <c r="L435" i="1" s="1"/>
  <c r="K435" i="1" a="1"/>
  <c r="K435" i="1" s="1"/>
  <c r="J435" i="1" a="1"/>
  <c r="J435" i="1" s="1"/>
  <c r="I435" i="1" a="1"/>
  <c r="I435" i="1" s="1"/>
  <c r="L434" i="1" a="1"/>
  <c r="L434" i="1" s="1"/>
  <c r="K434" i="1" a="1"/>
  <c r="K434" i="1" s="1"/>
  <c r="J434" i="1" a="1"/>
  <c r="J434" i="1" s="1"/>
  <c r="I434" i="1" a="1"/>
  <c r="I434" i="1" s="1"/>
  <c r="L433" i="1" a="1"/>
  <c r="L433" i="1" s="1"/>
  <c r="K433" i="1" a="1"/>
  <c r="K433" i="1" s="1"/>
  <c r="J433" i="1" a="1"/>
  <c r="J433" i="1" s="1"/>
  <c r="I433" i="1" a="1"/>
  <c r="I433" i="1" s="1"/>
  <c r="L432" i="1" a="1"/>
  <c r="L432" i="1" s="1"/>
  <c r="K432" i="1" a="1"/>
  <c r="K432" i="1" s="1"/>
  <c r="J432" i="1" a="1"/>
  <c r="J432" i="1" s="1"/>
  <c r="I432" i="1" a="1"/>
  <c r="I432" i="1" s="1"/>
  <c r="L431" i="1" a="1"/>
  <c r="L431" i="1" s="1"/>
  <c r="K431" i="1" a="1"/>
  <c r="K431" i="1" s="1"/>
  <c r="J431" i="1" a="1"/>
  <c r="J431" i="1" s="1"/>
  <c r="I431" i="1" a="1"/>
  <c r="I431" i="1" s="1"/>
  <c r="L430" i="1" a="1"/>
  <c r="L430" i="1" s="1"/>
  <c r="K430" i="1" a="1"/>
  <c r="K430" i="1" s="1"/>
  <c r="J430" i="1" a="1"/>
  <c r="J430" i="1" s="1"/>
  <c r="I430" i="1" a="1"/>
  <c r="I430" i="1" s="1"/>
  <c r="L429" i="1" a="1"/>
  <c r="L429" i="1" s="1"/>
  <c r="K429" i="1" a="1"/>
  <c r="K429" i="1" s="1"/>
  <c r="J429" i="1" a="1"/>
  <c r="J429" i="1" s="1"/>
  <c r="I429" i="1" a="1"/>
  <c r="I429" i="1" s="1"/>
  <c r="L428" i="1" a="1"/>
  <c r="L428" i="1" s="1"/>
  <c r="K428" i="1" a="1"/>
  <c r="K428" i="1" s="1"/>
  <c r="J428" i="1" a="1"/>
  <c r="J428" i="1" s="1"/>
  <c r="I428" i="1" a="1"/>
  <c r="I428" i="1" s="1"/>
  <c r="L427" i="1" a="1"/>
  <c r="L427" i="1" s="1"/>
  <c r="K427" i="1" a="1"/>
  <c r="K427" i="1" s="1"/>
  <c r="J427" i="1" a="1"/>
  <c r="J427" i="1" s="1"/>
  <c r="I427" i="1" a="1"/>
  <c r="I427" i="1" s="1"/>
  <c r="L426" i="1" a="1"/>
  <c r="L426" i="1" s="1"/>
  <c r="K426" i="1" a="1"/>
  <c r="K426" i="1" s="1"/>
  <c r="J426" i="1" a="1"/>
  <c r="J426" i="1" s="1"/>
  <c r="I426" i="1" a="1"/>
  <c r="I426" i="1" s="1"/>
  <c r="L425" i="1" a="1"/>
  <c r="L425" i="1" s="1"/>
  <c r="K425" i="1" a="1"/>
  <c r="K425" i="1" s="1"/>
  <c r="J425" i="1" a="1"/>
  <c r="J425" i="1" s="1"/>
  <c r="I425" i="1" a="1"/>
  <c r="I425" i="1" s="1"/>
  <c r="L424" i="1" a="1"/>
  <c r="L424" i="1" s="1"/>
  <c r="K424" i="1" a="1"/>
  <c r="K424" i="1" s="1"/>
  <c r="J424" i="1" a="1"/>
  <c r="J424" i="1" s="1"/>
  <c r="I424" i="1" a="1"/>
  <c r="I424" i="1" s="1"/>
  <c r="L423" i="1" a="1"/>
  <c r="L423" i="1" s="1"/>
  <c r="K423" i="1" a="1"/>
  <c r="K423" i="1" s="1"/>
  <c r="J423" i="1" a="1"/>
  <c r="J423" i="1" s="1"/>
  <c r="I423" i="1" a="1"/>
  <c r="I423" i="1" s="1"/>
  <c r="L422" i="1" a="1"/>
  <c r="L422" i="1" s="1"/>
  <c r="K422" i="1" a="1"/>
  <c r="K422" i="1" s="1"/>
  <c r="J422" i="1" a="1"/>
  <c r="J422" i="1" s="1"/>
  <c r="I422" i="1" a="1"/>
  <c r="I422" i="1" s="1"/>
  <c r="L421" i="1" a="1"/>
  <c r="L421" i="1" s="1"/>
  <c r="K421" i="1" a="1"/>
  <c r="K421" i="1" s="1"/>
  <c r="J421" i="1" a="1"/>
  <c r="J421" i="1" s="1"/>
  <c r="I421" i="1" a="1"/>
  <c r="I421" i="1" s="1"/>
  <c r="L420" i="1" a="1"/>
  <c r="L420" i="1" s="1"/>
  <c r="K420" i="1" a="1"/>
  <c r="K420" i="1" s="1"/>
  <c r="J420" i="1" a="1"/>
  <c r="J420" i="1" s="1"/>
  <c r="I420" i="1" a="1"/>
  <c r="I420" i="1" s="1"/>
  <c r="L419" i="1" a="1"/>
  <c r="L419" i="1" s="1"/>
  <c r="K419" i="1" a="1"/>
  <c r="K419" i="1" s="1"/>
  <c r="J419" i="1" a="1"/>
  <c r="J419" i="1" s="1"/>
  <c r="I419" i="1" a="1"/>
  <c r="I419" i="1" s="1"/>
  <c r="L418" i="1" a="1"/>
  <c r="L418" i="1" s="1"/>
  <c r="K418" i="1" a="1"/>
  <c r="K418" i="1" s="1"/>
  <c r="J418" i="1" a="1"/>
  <c r="J418" i="1" s="1"/>
  <c r="I418" i="1" a="1"/>
  <c r="I418" i="1" s="1"/>
  <c r="L417" i="1" a="1"/>
  <c r="L417" i="1" s="1"/>
  <c r="K417" i="1" a="1"/>
  <c r="K417" i="1" s="1"/>
  <c r="J417" i="1" a="1"/>
  <c r="J417" i="1" s="1"/>
  <c r="I417" i="1" a="1"/>
  <c r="I417" i="1" s="1"/>
  <c r="L416" i="1" a="1"/>
  <c r="L416" i="1" s="1"/>
  <c r="K416" i="1" a="1"/>
  <c r="K416" i="1" s="1"/>
  <c r="J416" i="1" a="1"/>
  <c r="J416" i="1" s="1"/>
  <c r="I416" i="1" a="1"/>
  <c r="I416" i="1" s="1"/>
  <c r="L415" i="1" a="1"/>
  <c r="L415" i="1" s="1"/>
  <c r="K415" i="1" a="1"/>
  <c r="K415" i="1" s="1"/>
  <c r="J415" i="1" a="1"/>
  <c r="J415" i="1" s="1"/>
  <c r="I415" i="1" a="1"/>
  <c r="I415" i="1" s="1"/>
  <c r="L414" i="1" a="1"/>
  <c r="L414" i="1" s="1"/>
  <c r="K414" i="1" a="1"/>
  <c r="K414" i="1" s="1"/>
  <c r="J414" i="1" a="1"/>
  <c r="J414" i="1" s="1"/>
  <c r="I414" i="1" a="1"/>
  <c r="I414" i="1" s="1"/>
  <c r="L413" i="1" a="1"/>
  <c r="L413" i="1" s="1"/>
  <c r="K413" i="1" a="1"/>
  <c r="K413" i="1" s="1"/>
  <c r="J413" i="1" a="1"/>
  <c r="J413" i="1" s="1"/>
  <c r="I413" i="1" a="1"/>
  <c r="I413" i="1" s="1"/>
  <c r="L412" i="1" a="1"/>
  <c r="L412" i="1" s="1"/>
  <c r="K412" i="1" a="1"/>
  <c r="K412" i="1" s="1"/>
  <c r="J412" i="1" a="1"/>
  <c r="J412" i="1" s="1"/>
  <c r="I412" i="1" a="1"/>
  <c r="I412" i="1" s="1"/>
  <c r="L411" i="1" a="1"/>
  <c r="L411" i="1" s="1"/>
  <c r="K411" i="1" a="1"/>
  <c r="K411" i="1" s="1"/>
  <c r="J411" i="1" a="1"/>
  <c r="J411" i="1" s="1"/>
  <c r="I411" i="1" a="1"/>
  <c r="I411" i="1" s="1"/>
  <c r="L410" i="1" a="1"/>
  <c r="L410" i="1" s="1"/>
  <c r="K410" i="1" a="1"/>
  <c r="K410" i="1" s="1"/>
  <c r="J410" i="1" a="1"/>
  <c r="J410" i="1" s="1"/>
  <c r="I410" i="1" a="1"/>
  <c r="I410" i="1" s="1"/>
  <c r="L409" i="1" a="1"/>
  <c r="L409" i="1" s="1"/>
  <c r="K409" i="1" a="1"/>
  <c r="K409" i="1" s="1"/>
  <c r="J409" i="1" a="1"/>
  <c r="J409" i="1" s="1"/>
  <c r="I409" i="1" a="1"/>
  <c r="I409" i="1" s="1"/>
  <c r="L408" i="1" a="1"/>
  <c r="L408" i="1" s="1"/>
  <c r="L407" i="1" a="1"/>
  <c r="L407" i="1" s="1"/>
  <c r="L406" i="1" a="1"/>
  <c r="L406" i="1" s="1"/>
  <c r="L405" i="1" a="1"/>
  <c r="L405" i="1" s="1"/>
  <c r="L404" i="1" a="1"/>
  <c r="L404" i="1" s="1"/>
  <c r="K408" i="1" a="1"/>
  <c r="K408" i="1" s="1"/>
  <c r="K407" i="1" a="1"/>
  <c r="K407" i="1" s="1"/>
  <c r="K406" i="1" a="1"/>
  <c r="K406" i="1" s="1"/>
  <c r="K405" i="1" a="1"/>
  <c r="K405" i="1" s="1"/>
  <c r="K404" i="1" a="1"/>
  <c r="K404" i="1" s="1"/>
  <c r="J408" i="1" a="1"/>
  <c r="J408" i="1" s="1"/>
  <c r="J407" i="1" a="1"/>
  <c r="J407" i="1" s="1"/>
  <c r="J406" i="1" a="1"/>
  <c r="J406" i="1" s="1"/>
  <c r="J405" i="1" a="1"/>
  <c r="J405" i="1" s="1"/>
  <c r="J404" i="1" a="1"/>
  <c r="J404" i="1" s="1"/>
  <c r="I408" i="1" a="1"/>
  <c r="I408" i="1" s="1"/>
  <c r="I405" i="1" a="1"/>
  <c r="I405" i="1" s="1"/>
  <c r="I407" i="1" a="1"/>
  <c r="I407" i="1" s="1"/>
  <c r="D69" i="3" l="1"/>
  <c r="D73" i="3"/>
  <c r="H83" i="3"/>
  <c r="E78" i="3"/>
  <c r="E26" i="3" s="1"/>
  <c r="F88" i="3"/>
  <c r="D75" i="3"/>
  <c r="C87" i="3"/>
  <c r="F91" i="3"/>
  <c r="H97" i="3"/>
  <c r="K54" i="3"/>
  <c r="E76" i="3"/>
  <c r="E24" i="3" s="1"/>
  <c r="G70" i="3"/>
  <c r="G18" i="3" s="1"/>
  <c r="H61" i="3"/>
  <c r="G73" i="3"/>
  <c r="C59" i="3"/>
  <c r="G95" i="3"/>
  <c r="F80" i="3"/>
  <c r="F61" i="3"/>
  <c r="C86" i="3"/>
  <c r="C34" i="3" s="1"/>
  <c r="G59" i="3"/>
  <c r="G7" i="3" s="1"/>
  <c r="D84" i="3"/>
  <c r="D32" i="3" s="1"/>
  <c r="D56" i="3"/>
  <c r="D4" i="3" s="1"/>
  <c r="G80" i="3"/>
  <c r="H435" i="1" s="1" a="1"/>
  <c r="H435" i="1" s="1"/>
  <c r="G105" i="3"/>
  <c r="G53" i="3" s="1"/>
  <c r="G78" i="3"/>
  <c r="E5" i="3"/>
  <c r="H10" i="3"/>
  <c r="F33" i="3"/>
  <c r="H24" i="3"/>
  <c r="D18" i="3"/>
  <c r="H27" i="3"/>
  <c r="H12" i="3"/>
  <c r="C50" i="3"/>
  <c r="F34" i="3"/>
  <c r="D38" i="3"/>
  <c r="G11" i="3"/>
  <c r="D8" i="3"/>
  <c r="G32" i="3"/>
  <c r="E4" i="3"/>
  <c r="H30" i="3"/>
  <c r="C11" i="3"/>
  <c r="C23" i="3"/>
  <c r="E17" i="3"/>
  <c r="C27" i="3"/>
  <c r="G16" i="3"/>
  <c r="E29" i="3"/>
  <c r="D35" i="3"/>
  <c r="D41" i="3"/>
  <c r="C46" i="3"/>
  <c r="H51" i="3"/>
  <c r="E9" i="3"/>
  <c r="G49" i="3"/>
  <c r="F15" i="3"/>
  <c r="G52" i="3"/>
  <c r="F37" i="3"/>
  <c r="E22" i="3"/>
  <c r="F5" i="3"/>
  <c r="C30" i="3"/>
  <c r="C53" i="3"/>
  <c r="F24" i="3"/>
  <c r="E49" i="3"/>
  <c r="G22" i="3"/>
  <c r="D17" i="3"/>
  <c r="H31" i="3"/>
  <c r="D23" i="3"/>
  <c r="C35" i="3"/>
  <c r="F39" i="3"/>
  <c r="H45" i="3"/>
  <c r="C52" i="3"/>
  <c r="E15" i="3"/>
  <c r="F52" i="3"/>
  <c r="H18" i="3"/>
  <c r="C4" i="3"/>
  <c r="F40" i="3"/>
  <c r="E25" i="3"/>
  <c r="F7" i="3"/>
  <c r="C32" i="3"/>
  <c r="G5" i="3"/>
  <c r="D30" i="3"/>
  <c r="F26" i="3"/>
  <c r="G24" i="3"/>
  <c r="F49" i="3"/>
  <c r="D33" i="3"/>
  <c r="F38" i="3"/>
  <c r="F48" i="3"/>
  <c r="G4" i="3"/>
  <c r="C6" i="3"/>
  <c r="G41" i="3"/>
  <c r="C45" i="3"/>
  <c r="C51" i="3"/>
  <c r="H5" i="3"/>
  <c r="F30" i="3"/>
  <c r="D15" i="3"/>
  <c r="C25" i="3"/>
  <c r="C10" i="3"/>
  <c r="C47" i="3"/>
  <c r="F13" i="3"/>
  <c r="G419" i="1" s="1" a="1"/>
  <c r="G419" i="1" s="1"/>
  <c r="H419" i="1" a="1"/>
  <c r="H419" i="1" s="1"/>
  <c r="H417" i="1" a="1"/>
  <c r="H417" i="1" s="1"/>
  <c r="D12" i="3"/>
  <c r="G417" i="1" s="1" a="1"/>
  <c r="G417" i="1" s="1"/>
  <c r="F43" i="3"/>
  <c r="G444" i="1" s="1" a="1"/>
  <c r="G444" i="1" s="1"/>
  <c r="H444" i="1" a="1"/>
  <c r="H444" i="1" s="1"/>
  <c r="H436" i="1" a="1"/>
  <c r="H436" i="1" s="1"/>
  <c r="E28" i="3"/>
  <c r="G436" i="1" s="1" a="1"/>
  <c r="G436" i="1" s="1"/>
  <c r="C48" i="3"/>
  <c r="C8" i="3"/>
  <c r="C3" i="3"/>
  <c r="H11" i="3"/>
  <c r="E2" i="3"/>
  <c r="H41" i="3"/>
  <c r="G23" i="3"/>
  <c r="G29" i="3"/>
  <c r="F35" i="3"/>
  <c r="F41" i="3"/>
  <c r="H407" i="1" a="1"/>
  <c r="H407" i="1" s="1"/>
  <c r="D3" i="3"/>
  <c r="G407" i="1" s="1" a="1"/>
  <c r="G407" i="1" s="1"/>
  <c r="D43" i="3"/>
  <c r="G447" i="1" s="1" a="1"/>
  <c r="G447" i="1" s="1"/>
  <c r="H447" i="1" a="1"/>
  <c r="H447" i="1" s="1"/>
  <c r="H6" i="3"/>
  <c r="H454" i="1" a="1"/>
  <c r="H454" i="1" s="1"/>
  <c r="F46" i="3"/>
  <c r="G454" i="1" s="1" a="1"/>
  <c r="G454" i="1" s="1"/>
  <c r="E31" i="3"/>
  <c r="D16" i="3"/>
  <c r="F53" i="3"/>
  <c r="H25" i="3"/>
  <c r="G50" i="3"/>
  <c r="C24" i="3"/>
  <c r="H48" i="3"/>
  <c r="F20" i="3"/>
  <c r="H452" i="1" a="1"/>
  <c r="H452" i="1" s="1"/>
  <c r="D45" i="3"/>
  <c r="G452" i="1" s="1" a="1"/>
  <c r="G452" i="1" s="1"/>
  <c r="F18" i="3"/>
  <c r="C43" i="3"/>
  <c r="M54" i="3"/>
  <c r="F2" i="3"/>
  <c r="G36" i="3"/>
  <c r="H443" i="1" a="1"/>
  <c r="H443" i="1" s="1"/>
  <c r="H440" i="1" a="1"/>
  <c r="H440" i="1" s="1"/>
  <c r="G27" i="3"/>
  <c r="H430" i="1" a="1"/>
  <c r="H430" i="1" s="1"/>
  <c r="H433" i="1" a="1"/>
  <c r="H433" i="1" s="1"/>
  <c r="H426" i="1" a="1"/>
  <c r="H426" i="1" s="1"/>
  <c r="E21" i="3"/>
  <c r="G426" i="1" s="1" a="1"/>
  <c r="G426" i="1" s="1"/>
  <c r="E6" i="3"/>
  <c r="G411" i="1" s="1" a="1"/>
  <c r="G411" i="1" s="1"/>
  <c r="H411" i="1" a="1"/>
  <c r="H411" i="1" s="1"/>
  <c r="D27" i="3"/>
  <c r="G432" i="1" s="1" a="1"/>
  <c r="G432" i="1" s="1"/>
  <c r="H432" i="1" a="1"/>
  <c r="H432" i="1" s="1"/>
  <c r="H457" i="1" a="1"/>
  <c r="H457" i="1" s="1"/>
  <c r="D46" i="3"/>
  <c r="G457" i="1" s="1" a="1"/>
  <c r="G457" i="1" s="1"/>
  <c r="H414" i="1" a="1"/>
  <c r="H414" i="1" s="1"/>
  <c r="F12" i="3"/>
  <c r="G414" i="1" s="1" a="1"/>
  <c r="G414" i="1" s="1"/>
  <c r="D47" i="3"/>
  <c r="G462" i="1" s="1" a="1"/>
  <c r="G462" i="1" s="1"/>
  <c r="H462" i="1" a="1"/>
  <c r="H462" i="1" s="1"/>
  <c r="H458" i="1" a="1"/>
  <c r="H458" i="1" s="1"/>
  <c r="G46" i="3"/>
  <c r="H455" i="1" a="1"/>
  <c r="H455" i="1" s="1"/>
  <c r="H2" i="3"/>
  <c r="E7" i="3"/>
  <c r="C15" i="3"/>
  <c r="D11" i="3"/>
  <c r="C18" i="3"/>
  <c r="F8" i="3"/>
  <c r="E50" i="3"/>
  <c r="F29" i="3"/>
  <c r="E35" i="3"/>
  <c r="E41" i="3"/>
  <c r="G47" i="3"/>
  <c r="H463" i="1" a="1"/>
  <c r="H463" i="1" s="1"/>
  <c r="H460" i="1" a="1"/>
  <c r="H460" i="1" s="1"/>
  <c r="H410" i="1" a="1"/>
  <c r="H410" i="1" s="1"/>
  <c r="G6" i="3"/>
  <c r="H413" i="1" a="1"/>
  <c r="H413" i="1" s="1"/>
  <c r="H456" i="1" a="1"/>
  <c r="H456" i="1" s="1"/>
  <c r="E46" i="3"/>
  <c r="G456" i="1" s="1" a="1"/>
  <c r="G456" i="1" s="1"/>
  <c r="H418" i="1" a="1"/>
  <c r="H418" i="1" s="1"/>
  <c r="G12" i="3"/>
  <c r="H49" i="3"/>
  <c r="E34" i="3"/>
  <c r="D19" i="3"/>
  <c r="F3" i="3"/>
  <c r="G404" i="1" s="1" a="1"/>
  <c r="G404" i="1" s="1"/>
  <c r="H404" i="1" a="1"/>
  <c r="H404" i="1" s="1"/>
  <c r="C28" i="3"/>
  <c r="H52" i="3"/>
  <c r="C26" i="3"/>
  <c r="H50" i="3"/>
  <c r="F22" i="3"/>
  <c r="H461" i="1" a="1"/>
  <c r="H461" i="1" s="1"/>
  <c r="E47" i="3"/>
  <c r="G461" i="1" s="1" a="1"/>
  <c r="G461" i="1" s="1"/>
  <c r="G20" i="3"/>
  <c r="H449" i="1" a="1"/>
  <c r="H449" i="1" s="1"/>
  <c r="F45" i="3"/>
  <c r="G449" i="1" s="1" a="1"/>
  <c r="G449" i="1" s="1"/>
  <c r="N54" i="3"/>
  <c r="G2" i="3"/>
  <c r="H423" i="1" a="1"/>
  <c r="H423" i="1" s="1"/>
  <c r="G13" i="3"/>
  <c r="H420" i="1" a="1"/>
  <c r="H420" i="1" s="1"/>
  <c r="H442" i="1" a="1"/>
  <c r="H442" i="1" s="1"/>
  <c r="D36" i="3"/>
  <c r="G442" i="1" s="1" a="1"/>
  <c r="G442" i="1" s="1"/>
  <c r="H409" i="1" a="1"/>
  <c r="H409" i="1" s="1"/>
  <c r="F6" i="3"/>
  <c r="G409" i="1" s="1" a="1"/>
  <c r="G409" i="1" s="1"/>
  <c r="F27" i="3"/>
  <c r="G429" i="1" s="1" a="1"/>
  <c r="G429" i="1" s="1"/>
  <c r="H429" i="1" a="1"/>
  <c r="H429" i="1" s="1"/>
  <c r="H422" i="1" a="1"/>
  <c r="H422" i="1" s="1"/>
  <c r="D13" i="3"/>
  <c r="G422" i="1" s="1" a="1"/>
  <c r="G422" i="1" s="1"/>
  <c r="E499" i="1" s="1" a="1"/>
  <c r="E499" i="1" s="1"/>
  <c r="D21" i="3"/>
  <c r="G427" i="1" s="1" a="1"/>
  <c r="G427" i="1" s="1"/>
  <c r="H427" i="1" a="1"/>
  <c r="H427" i="1" s="1"/>
  <c r="H439" i="1" a="1"/>
  <c r="H439" i="1" s="1"/>
  <c r="F36" i="3"/>
  <c r="G439" i="1" s="1" a="1"/>
  <c r="G439" i="1" s="1"/>
  <c r="H465" i="1" a="1"/>
  <c r="H465" i="1" s="1"/>
  <c r="G51" i="3"/>
  <c r="H468" i="1" a="1"/>
  <c r="H468" i="1" s="1"/>
  <c r="J54" i="3"/>
  <c r="C2" i="3"/>
  <c r="H466" i="1" a="1"/>
  <c r="H466" i="1" s="1"/>
  <c r="E51" i="3"/>
  <c r="G466" i="1" s="1" a="1"/>
  <c r="G466" i="1" s="1"/>
  <c r="D26" i="3"/>
  <c r="D29" i="3"/>
  <c r="D39" i="3"/>
  <c r="C44" i="3"/>
  <c r="H44" i="3"/>
  <c r="E32" i="3"/>
  <c r="E39" i="3"/>
  <c r="G45" i="3"/>
  <c r="H450" i="1" a="1"/>
  <c r="H450" i="1" s="1"/>
  <c r="H453" i="1" a="1"/>
  <c r="H453" i="1" s="1"/>
  <c r="D51" i="3"/>
  <c r="G467" i="1" s="1" a="1"/>
  <c r="G467" i="1" s="1"/>
  <c r="H467" i="1" a="1"/>
  <c r="H467" i="1" s="1"/>
  <c r="H9" i="3"/>
  <c r="G21" i="3"/>
  <c r="H428" i="1" a="1"/>
  <c r="H428" i="1" s="1"/>
  <c r="H425" i="1" a="1"/>
  <c r="H425" i="1" s="1"/>
  <c r="C7" i="3"/>
  <c r="H445" i="1" a="1"/>
  <c r="H445" i="1" s="1"/>
  <c r="G43" i="3"/>
  <c r="H448" i="1" a="1"/>
  <c r="H448" i="1" s="1"/>
  <c r="F28" i="3"/>
  <c r="G434" i="1" s="1" a="1"/>
  <c r="G434" i="1" s="1"/>
  <c r="H434" i="1" a="1"/>
  <c r="H434" i="1" s="1"/>
  <c r="F9" i="3"/>
  <c r="G26" i="3"/>
  <c r="H464" i="1" a="1"/>
  <c r="H464" i="1" s="1"/>
  <c r="F51" i="3"/>
  <c r="G464" i="1" s="1" a="1"/>
  <c r="G464" i="1" s="1"/>
  <c r="G3" i="3"/>
  <c r="H408" i="1" a="1"/>
  <c r="H408" i="1" s="1"/>
  <c r="H405" i="1" a="1"/>
  <c r="H405" i="1" s="1"/>
  <c r="H437" i="1" a="1"/>
  <c r="H437" i="1" s="1"/>
  <c r="D28" i="3"/>
  <c r="G437" i="1" s="1" a="1"/>
  <c r="G437" i="1" s="1"/>
  <c r="F47" i="3"/>
  <c r="G459" i="1" s="1" a="1"/>
  <c r="G459" i="1" s="1"/>
  <c r="H459" i="1" a="1"/>
  <c r="H459" i="1" s="1"/>
  <c r="H424" i="1" a="1"/>
  <c r="H424" i="1" s="1"/>
  <c r="F21" i="3"/>
  <c r="G424" i="1" s="1" a="1"/>
  <c r="G424" i="1" s="1"/>
  <c r="F31" i="3"/>
  <c r="F11" i="3"/>
  <c r="C36" i="3"/>
  <c r="G9" i="3"/>
  <c r="D34" i="3"/>
  <c r="D6" i="3"/>
  <c r="G412" i="1" s="1" a="1"/>
  <c r="G412" i="1" s="1"/>
  <c r="H412" i="1" a="1"/>
  <c r="H412" i="1" s="1"/>
  <c r="G30" i="3"/>
  <c r="D2" i="3"/>
  <c r="H28" i="3"/>
  <c r="H53" i="3"/>
  <c r="Q378" i="1"/>
  <c r="Q379" i="1"/>
  <c r="Q380" i="1"/>
  <c r="Q377" i="1"/>
  <c r="Q381" i="1"/>
  <c r="Q382" i="1"/>
  <c r="N480" i="1"/>
  <c r="L480" i="1"/>
  <c r="M480" i="1" s="1"/>
  <c r="E476" i="1"/>
  <c r="P410" i="1"/>
  <c r="P413" i="1" s="1"/>
  <c r="V382" i="1"/>
  <c r="U382" i="1"/>
  <c r="T382" i="1"/>
  <c r="V381" i="1"/>
  <c r="U381" i="1"/>
  <c r="T381" i="1"/>
  <c r="V380" i="1"/>
  <c r="U380" i="1"/>
  <c r="T380" i="1"/>
  <c r="V379" i="1"/>
  <c r="U379" i="1"/>
  <c r="E392" i="1" s="1" a="1"/>
  <c r="E392" i="1" s="1"/>
  <c r="T379" i="1"/>
  <c r="V378" i="1"/>
  <c r="U378" i="1"/>
  <c r="T378" i="1"/>
  <c r="V377" i="1"/>
  <c r="U377" i="1"/>
  <c r="T377" i="1"/>
  <c r="E363" i="1" a="1"/>
  <c r="E363" i="1" s="1"/>
  <c r="M116" i="1"/>
  <c r="H438" i="1" l="1" a="1"/>
  <c r="H438" i="1" s="1"/>
  <c r="G28" i="3"/>
  <c r="G448" i="1" a="1"/>
  <c r="G448" i="1" s="1"/>
  <c r="G445" i="1" a="1"/>
  <c r="G445" i="1" s="1"/>
  <c r="G408" i="1" a="1"/>
  <c r="G408" i="1" s="1"/>
  <c r="G405" i="1" a="1"/>
  <c r="G405" i="1" s="1"/>
  <c r="G443" i="1" a="1"/>
  <c r="G443" i="1" s="1"/>
  <c r="G440" i="1" a="1"/>
  <c r="G440" i="1" s="1"/>
  <c r="G418" i="1" a="1"/>
  <c r="G418" i="1" s="1"/>
  <c r="G415" i="1" a="1"/>
  <c r="G415" i="1" s="1"/>
  <c r="G453" i="1" a="1"/>
  <c r="G453" i="1" s="1"/>
  <c r="G450" i="1" a="1"/>
  <c r="G450" i="1" s="1"/>
  <c r="G433" i="1" a="1"/>
  <c r="G433" i="1" s="1"/>
  <c r="G430" i="1" a="1"/>
  <c r="G430" i="1" s="1"/>
  <c r="G438" i="1" a="1"/>
  <c r="G438" i="1" s="1"/>
  <c r="G435" i="1" a="1"/>
  <c r="G435" i="1" s="1"/>
  <c r="G465" i="1" a="1"/>
  <c r="G465" i="1" s="1"/>
  <c r="G468" i="1" a="1"/>
  <c r="G468" i="1" s="1"/>
  <c r="E479" i="1" a="1"/>
  <c r="E479" i="1" s="1"/>
  <c r="G425" i="1" a="1"/>
  <c r="G425" i="1" s="1"/>
  <c r="G428" i="1" a="1"/>
  <c r="G428" i="1" s="1"/>
  <c r="G423" i="1" a="1"/>
  <c r="G423" i="1" s="1"/>
  <c r="G420" i="1" a="1"/>
  <c r="G420" i="1" s="1"/>
  <c r="G413" i="1" a="1"/>
  <c r="G413" i="1" s="1"/>
  <c r="G410" i="1" a="1"/>
  <c r="G410" i="1" s="1"/>
  <c r="G460" i="1" a="1"/>
  <c r="G460" i="1" s="1"/>
  <c r="G463" i="1" a="1"/>
  <c r="G463" i="1" s="1"/>
  <c r="G455" i="1" a="1"/>
  <c r="G455" i="1" s="1"/>
  <c r="G458" i="1" a="1"/>
  <c r="G458" i="1" s="1"/>
  <c r="Z379" i="1"/>
  <c r="R379" i="1"/>
  <c r="AA379" i="1" s="1"/>
  <c r="Z378" i="1"/>
  <c r="R378" i="1"/>
  <c r="AA378" i="1"/>
  <c r="Z382" i="1"/>
  <c r="R382" i="1"/>
  <c r="R381" i="1"/>
  <c r="Z381" i="1"/>
  <c r="R377" i="1"/>
  <c r="AA377" i="1" s="1"/>
  <c r="Z377" i="1"/>
  <c r="Z380" i="1"/>
  <c r="R380" i="1"/>
  <c r="AA380" i="1" s="1"/>
  <c r="O480" i="1"/>
  <c r="S377" i="1" l="1"/>
  <c r="AC377" i="1" s="1"/>
  <c r="S381" i="1"/>
  <c r="AC381" i="1" s="1"/>
  <c r="AA381" i="1"/>
  <c r="S382" i="1"/>
  <c r="AC382" i="1" s="1"/>
  <c r="AA382" i="1"/>
  <c r="S380" i="1"/>
  <c r="AC380" i="1" s="1"/>
  <c r="S378" i="1"/>
  <c r="AC378" i="1" s="1"/>
  <c r="S379" i="1"/>
  <c r="AC379" i="1" s="1"/>
  <c r="AB378" i="1" l="1"/>
  <c r="AB380" i="1"/>
  <c r="AB379" i="1"/>
  <c r="AB377" i="1"/>
  <c r="AB382" i="1"/>
  <c r="AB38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22" authorId="0" shapeId="0" xr:uid="{F66113C4-A34D-4AD1-98F3-9EC73E504F5D}">
      <text>
        <r>
          <rPr>
            <sz val="11"/>
            <color indexed="8"/>
            <rFont val="Calibri"/>
            <family val="2"/>
            <scheme val="minor"/>
          </rPr>
          <t xml:space="preserve">*  Interim
</t>
        </r>
      </text>
    </comment>
    <comment ref="I22" authorId="0" shapeId="0" xr:uid="{E8B0FAB3-31D8-4253-BADB-2073990FA5E9}">
      <text>
        <r>
          <rPr>
            <sz val="11"/>
            <color indexed="8"/>
            <rFont val="Calibri"/>
            <family val="2"/>
            <scheme val="minor"/>
          </rPr>
          <t xml:space="preserve">*  Interim
</t>
        </r>
      </text>
    </comment>
    <comment ref="J22" authorId="0" shapeId="0" xr:uid="{BBCC8F03-A64A-48B2-A648-4ED605959F17}">
      <text>
        <r>
          <rPr>
            <sz val="11"/>
            <color indexed="8"/>
            <rFont val="Calibri"/>
            <family val="2"/>
            <scheme val="minor"/>
          </rPr>
          <t xml:space="preserve">*  Interim
</t>
        </r>
      </text>
    </comment>
    <comment ref="K22" authorId="0" shapeId="0" xr:uid="{6234915B-302F-4C4F-82BC-726616E05B68}">
      <text>
        <r>
          <rPr>
            <sz val="11"/>
            <color indexed="8"/>
            <rFont val="Calibri"/>
            <family val="2"/>
            <scheme val="minor"/>
          </rPr>
          <t xml:space="preserve">*  Interim
</t>
        </r>
      </text>
    </comment>
    <comment ref="L22" authorId="0" shapeId="0" xr:uid="{EDFA94D8-DB20-4A0A-87BE-CEE18F69437B}">
      <text>
        <r>
          <rPr>
            <sz val="11"/>
            <color indexed="8"/>
            <rFont val="Calibri"/>
            <family val="2"/>
            <scheme val="minor"/>
          </rPr>
          <t xml:space="preserve">*  Interim
</t>
        </r>
      </text>
    </comment>
    <comment ref="M22" authorId="0" shapeId="0" xr:uid="{CC780ED3-C6E5-49DE-AB91-6171CE9339F8}">
      <text>
        <r>
          <rPr>
            <sz val="11"/>
            <color indexed="8"/>
            <rFont val="Calibri"/>
            <family val="2"/>
            <scheme val="minor"/>
          </rPr>
          <t xml:space="preserve">*  Interim
</t>
        </r>
      </text>
    </comment>
    <comment ref="Y22" authorId="0" shapeId="0" xr:uid="{8C642AF0-947A-4037-B1EA-E5ABF88B803A}">
      <text>
        <r>
          <rPr>
            <sz val="11"/>
            <color indexed="8"/>
            <rFont val="Calibri"/>
            <family val="2"/>
            <scheme val="minor"/>
          </rPr>
          <t xml:space="preserve">*  Interim
</t>
        </r>
      </text>
    </comment>
    <comment ref="Z22" authorId="0" shapeId="0" xr:uid="{0DC60C19-B198-403B-8430-4FF599542273}">
      <text>
        <r>
          <rPr>
            <sz val="11"/>
            <color indexed="8"/>
            <rFont val="Calibri"/>
            <family val="2"/>
            <scheme val="minor"/>
          </rPr>
          <t xml:space="preserve">*  Interim
</t>
        </r>
      </text>
    </comment>
    <comment ref="AA22" authorId="0" shapeId="0" xr:uid="{FCCC517F-E98D-4BBC-A3E1-F299ABB17995}">
      <text>
        <r>
          <rPr>
            <sz val="11"/>
            <color indexed="8"/>
            <rFont val="Calibri"/>
            <family val="2"/>
            <scheme val="minor"/>
          </rPr>
          <t xml:space="preserve">*  Interim
</t>
        </r>
      </text>
    </comment>
    <comment ref="AB22" authorId="0" shapeId="0" xr:uid="{817C2199-5CBE-497B-95EF-0FD2C82DA639}">
      <text>
        <r>
          <rPr>
            <sz val="11"/>
            <color indexed="8"/>
            <rFont val="Calibri"/>
            <family val="2"/>
            <scheme val="minor"/>
          </rPr>
          <t xml:space="preserve">*  Interim
</t>
        </r>
      </text>
    </comment>
    <comment ref="AC22" authorId="0" shapeId="0" xr:uid="{5BBC8748-DB41-46F5-AA23-0B03315B9F2B}">
      <text>
        <r>
          <rPr>
            <sz val="11"/>
            <color indexed="8"/>
            <rFont val="Calibri"/>
            <family val="2"/>
            <scheme val="minor"/>
          </rPr>
          <t xml:space="preserve">*  Interim
</t>
        </r>
      </text>
    </comment>
    <comment ref="AD22" authorId="0" shapeId="0" xr:uid="{D65749BE-BE6E-44BE-855B-7ABE369472DC}">
      <text>
        <r>
          <rPr>
            <sz val="11"/>
            <color indexed="8"/>
            <rFont val="Calibri"/>
            <family val="2"/>
            <scheme val="minor"/>
          </rPr>
          <t xml:space="preserve">*  Interim
</t>
        </r>
      </text>
    </comment>
    <comment ref="B23" authorId="0" shapeId="0" xr:uid="{6F428A19-95DB-45A2-9B80-527E039F43E4}">
      <text>
        <r>
          <rPr>
            <sz val="11"/>
            <color indexed="8"/>
            <rFont val="Calibri"/>
            <family val="2"/>
            <scheme val="minor"/>
          </rPr>
          <t xml:space="preserve">*  Interim
</t>
        </r>
      </text>
    </comment>
    <comment ref="C23" authorId="0" shapeId="0" xr:uid="{2FFB0402-976A-4BC3-95B3-22296D2BCFB4}">
      <text>
        <r>
          <rPr>
            <sz val="11"/>
            <color indexed="8"/>
            <rFont val="Calibri"/>
            <family val="2"/>
            <scheme val="minor"/>
          </rPr>
          <t xml:space="preserve">*  Interim
</t>
        </r>
      </text>
    </comment>
    <comment ref="D23" authorId="0" shapeId="0" xr:uid="{021E6DD8-BC99-4E6D-B58B-91F676B718F1}">
      <text>
        <r>
          <rPr>
            <sz val="11"/>
            <color indexed="8"/>
            <rFont val="Calibri"/>
            <family val="2"/>
            <scheme val="minor"/>
          </rPr>
          <t xml:space="preserve">*  Interim
</t>
        </r>
      </text>
    </comment>
    <comment ref="E23" authorId="0" shapeId="0" xr:uid="{F550C367-2E4D-4055-BC5B-8CD7EE22824C}">
      <text>
        <r>
          <rPr>
            <sz val="11"/>
            <color indexed="8"/>
            <rFont val="Calibri"/>
            <family val="2"/>
            <scheme val="minor"/>
          </rPr>
          <t xml:space="preserve">*  Initial
</t>
        </r>
      </text>
    </comment>
    <comment ref="F23" authorId="0" shapeId="0" xr:uid="{2484328B-B654-475C-8CE6-E0AC9BA1A526}">
      <text>
        <r>
          <rPr>
            <sz val="11"/>
            <color indexed="8"/>
            <rFont val="Calibri"/>
            <family val="2"/>
            <scheme val="minor"/>
          </rPr>
          <t xml:space="preserve">*  Initial
</t>
        </r>
      </text>
    </comment>
    <comment ref="G23" authorId="0" shapeId="0" xr:uid="{26CC8EC0-3457-44B1-A770-CCEB401C9F65}">
      <text>
        <r>
          <rPr>
            <sz val="11"/>
            <color indexed="8"/>
            <rFont val="Calibri"/>
            <family val="2"/>
            <scheme val="minor"/>
          </rPr>
          <t xml:space="preserve">*  Initial
</t>
        </r>
      </text>
    </comment>
    <comment ref="S23" authorId="0" shapeId="0" xr:uid="{41091CC1-52EC-404E-B22C-CA71D86B20A7}">
      <text>
        <r>
          <rPr>
            <sz val="11"/>
            <color indexed="8"/>
            <rFont val="Calibri"/>
            <family val="2"/>
            <scheme val="minor"/>
          </rPr>
          <t xml:space="preserve">*  Interim
</t>
        </r>
      </text>
    </comment>
    <comment ref="T23" authorId="0" shapeId="0" xr:uid="{E2A62D70-5044-45ED-A681-3A6A8B2810D8}">
      <text>
        <r>
          <rPr>
            <sz val="11"/>
            <color indexed="8"/>
            <rFont val="Calibri"/>
            <family val="2"/>
            <scheme val="minor"/>
          </rPr>
          <t xml:space="preserve">*  Interim
</t>
        </r>
      </text>
    </comment>
    <comment ref="U23" authorId="0" shapeId="0" xr:uid="{F60A7EE7-1962-42E2-BDCE-8DC068EAD209}">
      <text>
        <r>
          <rPr>
            <sz val="11"/>
            <color indexed="8"/>
            <rFont val="Calibri"/>
            <family val="2"/>
            <scheme val="minor"/>
          </rPr>
          <t xml:space="preserve">*  Interim
</t>
        </r>
      </text>
    </comment>
    <comment ref="V23" authorId="0" shapeId="0" xr:uid="{E30D53FA-DEAA-434B-AAE5-F7C8DE87AAC0}">
      <text>
        <r>
          <rPr>
            <sz val="11"/>
            <color indexed="8"/>
            <rFont val="Calibri"/>
            <family val="2"/>
            <scheme val="minor"/>
          </rPr>
          <t xml:space="preserve">*  Initial
</t>
        </r>
      </text>
    </comment>
    <comment ref="W23" authorId="0" shapeId="0" xr:uid="{A2CC9FBA-7C69-4AC8-BBC9-CE608DE6EB7C}">
      <text>
        <r>
          <rPr>
            <sz val="11"/>
            <color indexed="8"/>
            <rFont val="Calibri"/>
            <family val="2"/>
            <scheme val="minor"/>
          </rPr>
          <t xml:space="preserve">*  Initial
</t>
        </r>
      </text>
    </comment>
    <comment ref="X23" authorId="0" shapeId="0" xr:uid="{C0984583-0D3C-4683-A75C-9225F16A3314}">
      <text>
        <r>
          <rPr>
            <sz val="11"/>
            <color indexed="8"/>
            <rFont val="Calibri"/>
            <family val="2"/>
            <scheme val="minor"/>
          </rPr>
          <t xml:space="preserve">*  Initial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Erik Randolph</author>
  </authors>
  <commentList>
    <comment ref="H381" authorId="0" shapeId="0" xr:uid="{EB398603-8EEE-45E0-9662-F2194ACF8795}">
      <text>
        <r>
          <rPr>
            <b/>
            <sz val="9"/>
            <color indexed="81"/>
            <rFont val="Tahoma"/>
            <family val="2"/>
          </rPr>
          <t>Erik Randolph:</t>
        </r>
        <r>
          <rPr>
            <sz val="9"/>
            <color indexed="81"/>
            <rFont val="Tahoma"/>
            <family val="2"/>
          </rPr>
          <t xml:space="preserve">
Per Enrollee costs for 2016 and 2017 exclude payments made to the Federal government from the States for risk-sharing arrangements and MLRs to avoid distorting the paid trend.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<sst xmlns="http://schemas.openxmlformats.org/spreadsheetml/2006/main" count="1667" uniqueCount="254">
  <si>
    <t>Mcaid</t>
  </si>
  <si>
    <t>Medicaid</t>
  </si>
  <si>
    <t>Statute</t>
  </si>
  <si>
    <t>42 U.S. Code Chapter 7 - Social Secuirty Subchapter XIX— Grants to States for Medical Assistance Programs</t>
  </si>
  <si>
    <t>https://www.law.cornell.edu/uscode/text/42/chapter-7/subchapter-XIX</t>
  </si>
  <si>
    <t>Federal Administration</t>
  </si>
  <si>
    <t>U.S. Department of Health and Human Services</t>
  </si>
  <si>
    <t>Center for Medicare and Medicaid Services (CMS)</t>
  </si>
  <si>
    <t>Medicaid.Gov</t>
  </si>
  <si>
    <t>https://www.medicaid.gov</t>
  </si>
  <si>
    <t>Lookup Table: MedicaidIncomeEligibility</t>
  </si>
  <si>
    <t>State</t>
  </si>
  <si>
    <t>Category</t>
  </si>
  <si>
    <t>2018</t>
  </si>
  <si>
    <t>2019</t>
  </si>
  <si>
    <t>2020</t>
  </si>
  <si>
    <t>2021</t>
  </si>
  <si>
    <t>2022</t>
  </si>
  <si>
    <t>Effective Date</t>
  </si>
  <si>
    <t>Alabama</t>
  </si>
  <si>
    <t>2-5</t>
  </si>
  <si>
    <t>6-18</t>
  </si>
  <si>
    <t>Pregnant</t>
  </si>
  <si>
    <t>Parent</t>
  </si>
  <si>
    <t>No</t>
  </si>
  <si>
    <t>Expansion Adult</t>
  </si>
  <si>
    <t>Adults 19 &amp; 20</t>
  </si>
  <si>
    <t>BHP: 133% to 200%</t>
  </si>
  <si>
    <t>Arkansas</t>
  </si>
  <si>
    <t>Yes</t>
  </si>
  <si>
    <t>Florida</t>
  </si>
  <si>
    <t>Georgia</t>
  </si>
  <si>
    <t>Louisiana</t>
  </si>
  <si>
    <t>Mississippi</t>
  </si>
  <si>
    <t>North Carolina</t>
  </si>
  <si>
    <t>South Carolina</t>
  </si>
  <si>
    <t>Tennessee</t>
  </si>
  <si>
    <t>Texas</t>
  </si>
  <si>
    <t>Alaska</t>
  </si>
  <si>
    <t>Arizona</t>
  </si>
  <si>
    <t>California</t>
  </si>
  <si>
    <t>Colorado</t>
  </si>
  <si>
    <t>Connecticut</t>
  </si>
  <si>
    <t>Delaware</t>
  </si>
  <si>
    <t>District of Columbia</t>
  </si>
  <si>
    <t>Hawaii</t>
  </si>
  <si>
    <t>Idaho</t>
  </si>
  <si>
    <t>Illinois</t>
  </si>
  <si>
    <t>Indiana</t>
  </si>
  <si>
    <t>Iowa</t>
  </si>
  <si>
    <t>Kansas</t>
  </si>
  <si>
    <t>Kentucky</t>
  </si>
  <si>
    <t>Maine</t>
  </si>
  <si>
    <t>Maryland</t>
  </si>
  <si>
    <t>Massachusetts</t>
  </si>
  <si>
    <t>Michigan</t>
  </si>
  <si>
    <t>Minnesota</t>
  </si>
  <si>
    <t>Missouri</t>
  </si>
  <si>
    <t>Montana</t>
  </si>
  <si>
    <t>Nebraska</t>
  </si>
  <si>
    <t>Nevada</t>
  </si>
  <si>
    <t>New Hampshire</t>
  </si>
  <si>
    <t>New Jersey</t>
  </si>
  <si>
    <t>New Mexico</t>
  </si>
  <si>
    <t>New York</t>
  </si>
  <si>
    <t>North Dakota</t>
  </si>
  <si>
    <t>Ohio</t>
  </si>
  <si>
    <t>Oklahoma</t>
  </si>
  <si>
    <t>Oregon</t>
  </si>
  <si>
    <t>Pennsylvania</t>
  </si>
  <si>
    <t>Rhode Island</t>
  </si>
  <si>
    <t>South Dakota</t>
  </si>
  <si>
    <t>Utah</t>
  </si>
  <si>
    <t>Vermont</t>
  </si>
  <si>
    <t>Virginia</t>
  </si>
  <si>
    <t>Washington</t>
  </si>
  <si>
    <t>West Virginia</t>
  </si>
  <si>
    <t>Wisconsin</t>
  </si>
  <si>
    <t>Wyoming</t>
  </si>
  <si>
    <t>Original Medicaid.gov Footnotes (accessed 2021may03)</t>
  </si>
  <si>
    <t>1. These eligibility standards include CHIP-funded Medicaid expansions for children under age 19. Children eligible for a CHIP-funded Medicaid expansion may be covered either under the mandatory children’s group or under the optional targeted low-income child group. Expanded Medicaid eligibility after 1997 qualifies for CHIP funding.</t>
  </si>
  <si>
    <t>2. CHIP covers birth up to age 19 unless otherwise noted in parentheses.</t>
  </si>
  <si>
    <t>3. CHIP gives states the option to cover pregnant women and children from conception to birth. This table shows coverage of pregnant women only.</t>
  </si>
  <si>
    <t>4. These data show Medicaid state plan coverage of the eligibility group for parents and other caretaker relatives. In expansion states, parents and caretaker relatives with incomes above the standard shown here may be eligible for coverage in the adult group. Some states use dollar amounts based on household size instead of percentages of the FPL as the income standard for parent and caretaker relatives. For those states, CMS converted the amount to percentages of the FPL. CMS uses the highest percentage to show the eligibility level for the group. States that use dollar amounts to make determinations are indicated by ($).</t>
  </si>
  <si>
    <t>5. The dollar values that FPLs represent in Alaska and Hawaii are higher than in the rest of the United States. For example, in 2018, 100% of the FPL for a family of four was equal to $31,380 in Alaska and $28,870 in Hawaii, compared to $25,100 in the other 48 states and the District of Columbia.</t>
  </si>
  <si>
    <t>6. The Separate CHIP in California covers certain children up to age 2 with incomes up to 317% of the FPL statewide; and it covers children up to age 19 also up to 317% of the FPL in three counties only.</t>
  </si>
  <si>
    <t>7. In addition to covering the adult group up to 133% of the FPL, the state covers ages 19 and 20 up to the following levels: DC 216%, MA 150%, ME 156%.</t>
  </si>
  <si>
    <t>8. The state also covers ages 19 and 20 up to the following levels: FL 27%, NC 41%.</t>
  </si>
  <si>
    <t>9. The state has a section 1115 demonstration, which provides Medicaid coverage to some additional low-income adults. In some cases, coverage:</t>
  </si>
  <si>
    <t>Includes limitations on eligibility and benefits</t>
  </si>
  <si>
    <t>Is not offered to all residents of the state</t>
  </si>
  <si>
    <t xml:space="preserve">  Includes an enrollment cap</t>
  </si>
  <si>
    <t>10. Minnesota covers children up to age 2 with incomes up to 283% of the FPL.</t>
  </si>
  <si>
    <t>11. Adults with incomes from above 133% and up to 200% of the FPL are covered through BHP.</t>
  </si>
  <si>
    <t>Definitions</t>
  </si>
  <si>
    <t>Child; Infant: less than 1</t>
  </si>
  <si>
    <t>Child age 1</t>
  </si>
  <si>
    <t>Child ages 2 to 5</t>
  </si>
  <si>
    <t>Child ages 6 to 18</t>
  </si>
  <si>
    <t>Parent or Caretaker</t>
  </si>
  <si>
    <t>Non-disabled adult from expansion population</t>
  </si>
  <si>
    <t>Adults ages 19 &amp; 20. (Some states have higher thresholds for 19 and 20 year olds</t>
  </si>
  <si>
    <t xml:space="preserve">Reserved: New York and Minnesota have BHP for 133% to 200% FPIG </t>
  </si>
  <si>
    <t>definition: BHP</t>
  </si>
  <si>
    <t>Basic Health Plan, for New York and Minnesota</t>
  </si>
  <si>
    <t>Formula</t>
  </si>
  <si>
    <t>formula=</t>
  </si>
  <si>
    <t>INDEX(MedicaidIncomeEligibility,MATCH(1,(MedicaidIncomeEligibility[State]=E497)*(MedicaidIncomeEligibility[Category]=E498),0),MATCH(E499,VALUE(MedicaidIncomeEligibility[#Headers]),0))</t>
  </si>
  <si>
    <t>test formula=</t>
  </si>
  <si>
    <t xml:space="preserve">input: state </t>
  </si>
  <si>
    <t>limited to active list</t>
  </si>
  <si>
    <t>input: program</t>
  </si>
  <si>
    <t>input: year</t>
  </si>
  <si>
    <t>test result =</t>
  </si>
  <si>
    <t>Source</t>
  </si>
  <si>
    <t>U.S. Department of Health and Human Services, Centers for Medicare &amp; Medicaid Services, Home&gt; Medicaid&gt; Program Information&gt; Medicaid &amp; CHIP Eligibility Levels: https://www.medicaid.gov/medicaid/national-medicaid-chip-program-information/medicaid-childrens-health-insurance-program-basic-health-program-eligibility-levels/index.html</t>
  </si>
  <si>
    <t>Centers for Medicare &amp; Medicaid Services. 7500 Security Boulevard Baltimore, MD 21244</t>
  </si>
  <si>
    <t>"The following table provides eligibility levels in each state for key coverage groups that use Modified Adjusted Gross Income (MAGI), as of April 1, 2019. The data represent the principal, but not all, MAGI coverage groups in Medicaid, the Children’s Health Insurance Program (CHIP), and the Basic Health Program (BHP). All income standards are expressed as a percentage of the federal poverty level (FPL). The MAGI-based rules generally include adjusting an individual’s income by an amount equivalent to a 5% FPL disregard. Other eligibility criteria also apply, such as citizenship, immigration status, and state residency."</t>
  </si>
  <si>
    <t>accessed 2020Fe24: State Medicaid, CHIP and BHP Income Eligibility Standards  (For selected MAGI Groups, based on state decisions as of April 1, 2019)</t>
  </si>
  <si>
    <t xml:space="preserve">Footnotes above. Expanding beyond SE states will require cleaning data, especially reconciling it with the footnotes. </t>
  </si>
  <si>
    <t>Lookup Table: MedicaidNationalPMPMs</t>
  </si>
  <si>
    <t xml:space="preserve">Used for cross reference and default when no state PMPM values are obtained. </t>
  </si>
  <si>
    <t>Group</t>
  </si>
  <si>
    <t>FY 2012</t>
  </si>
  <si>
    <t>FY 2013</t>
  </si>
  <si>
    <t>FY 2014</t>
  </si>
  <si>
    <t>FY 2015</t>
  </si>
  <si>
    <t>FY 2016</t>
  </si>
  <si>
    <t>FY 2017</t>
  </si>
  <si>
    <t>FY 2018</t>
  </si>
  <si>
    <t>FY 2019</t>
  </si>
  <si>
    <t>FY 2020</t>
  </si>
  <si>
    <t>FY 2021</t>
  </si>
  <si>
    <t>FY 2022</t>
  </si>
  <si>
    <t>FY 2023</t>
  </si>
  <si>
    <t>FY 2024</t>
  </si>
  <si>
    <t>FY 2025</t>
  </si>
  <si>
    <t>FY 2026</t>
  </si>
  <si>
    <t>FY 2027</t>
  </si>
  <si>
    <t>2023</t>
  </si>
  <si>
    <t>2024</t>
  </si>
  <si>
    <t>2025</t>
  </si>
  <si>
    <t>2026</t>
  </si>
  <si>
    <t>2027</t>
  </si>
  <si>
    <t>Designation</t>
  </si>
  <si>
    <t>Historical data</t>
  </si>
  <si>
    <t>Projection</t>
  </si>
  <si>
    <t>PMPM Calc</t>
  </si>
  <si>
    <t>Aged</t>
  </si>
  <si>
    <t>Disabled</t>
  </si>
  <si>
    <t>Children</t>
  </si>
  <si>
    <t>Adults</t>
  </si>
  <si>
    <t>Expansion adults</t>
  </si>
  <si>
    <t>n/a</t>
  </si>
  <si>
    <t>Average of all enrollees</t>
  </si>
  <si>
    <t>Notes</t>
  </si>
  <si>
    <t>The Actuary noted in footnote 55 on page 61 in the 2017 Report: "The average per enrollee costs may also vary substantially among States. These variations may reflect differences in State Medicaid programs (for example, eligibility levels, benefits offered, provider reimbursement rates, or program design) and differences in the overall health care market across States. "</t>
  </si>
  <si>
    <t>Note for 2016 Expansion Adults: Per Enrollee costs for 2016 and 2017 exclude payments made to the Federal government from the States for risk-sharing arrangements and MLRs to avoid distorting the paid trend.</t>
  </si>
  <si>
    <t>Per 2018 actuarial report, the capitated payments and premiums are expected to increase by 7.3% per year.</t>
  </si>
  <si>
    <t>INDEX(MedicaidNationalPMPMs,MATCH(E527,MedicaidNationalPMPMs[Group],0),MATCH(E528,VALUE(MedicaidNationalPMPMs[#Headers]),0))</t>
  </si>
  <si>
    <t>input: Group</t>
  </si>
  <si>
    <t>Medicaid Actuarial Reports are found here: https://www.cms.gov/Research-Statistics-Data-and-Systems/Research/ActuarialStudies/MedicaidReport</t>
  </si>
  <si>
    <t>2017 Actuarial Repott on the Financial Outlook for Medicaid, U.S. Department of Health &amp; Human Services, Office of the Actuary, Centers for Medicare &amp; Medicaid Servcies, p. 61 and Table 22 on page 68</t>
  </si>
  <si>
    <t xml:space="preserve">Note that Table 22 lists per enrollee costs as historical for 200 through 2012 but projections for 2013 on, despite being the 2017 report. Considering tha this is the same dividing line as for the 2016 report (Table 19), makes me think the designations may be in error. </t>
  </si>
  <si>
    <t>https://www.cms.gov/Research-Statistics-Data-and-Systems/Research/ActuarialStudies/Downloads/MedicaidReport2017.pdf</t>
  </si>
  <si>
    <t>https://www.cms.gov/newsroom/fact-sheets/medicaid-facts-and-figures</t>
  </si>
  <si>
    <t>https://www.medicaid.gov/state-overviews/scorecard/how-much-states-spend-per-medicaid-enrollee/index.html</t>
  </si>
  <si>
    <t>Lookup Table: MedicaidStatePMPMs</t>
  </si>
  <si>
    <t>Est increase 7.3%</t>
  </si>
  <si>
    <t>Est increase 4.3% til 2027</t>
  </si>
  <si>
    <t>Adult</t>
  </si>
  <si>
    <t>Non-disabled</t>
  </si>
  <si>
    <t>Child</t>
  </si>
  <si>
    <t>Adult:</t>
  </si>
  <si>
    <t>People with disabilities</t>
  </si>
  <si>
    <t>INDEX(MedicaidStatePMPMs,MATCH(1,(MedicaidStatePMPMs[State]=E574)*(MedicaidStatePMPMs[Group]=E575)*(MedicaidStatePMPMs[Category]=E576),0),MATCH(E577,VALUE(MedicaidStatePMPMs[#Headers]),0))</t>
  </si>
  <si>
    <t xml:space="preserve">Age </t>
  </si>
  <si>
    <t>&lt;20 = child, otherwise adult</t>
  </si>
  <si>
    <t>input: group</t>
  </si>
  <si>
    <t>input: category</t>
  </si>
  <si>
    <t>Chip</t>
  </si>
  <si>
    <t>All</t>
  </si>
  <si>
    <t>Combination Formula</t>
  </si>
  <si>
    <t>Total Medicaid and CHIP Enrollment</t>
  </si>
  <si>
    <t>Medicaid Enrollment</t>
  </si>
  <si>
    <t>CHIP Enrollment</t>
  </si>
  <si>
    <t>Note: Pulls federal rates if state rate is blank.</t>
  </si>
  <si>
    <t>Total Medicaid Child and CHIP Enrollment</t>
  </si>
  <si>
    <t>State Group</t>
  </si>
  <si>
    <t>State Category</t>
  </si>
  <si>
    <t>Federal</t>
  </si>
  <si>
    <t>If formula</t>
  </si>
  <si>
    <t>if(CATEGORY = Disabled, then Disabled, if(group = child, then children, adults))</t>
  </si>
  <si>
    <t>Federal PMPM</t>
  </si>
  <si>
    <t>State PMPM</t>
  </si>
  <si>
    <t xml:space="preserve">Revised If </t>
  </si>
  <si>
    <t>INDEX(MedicaidNationalPMPMs,MATCH(IF(E596 = "Disabled", "Disabled", IF(E595 = "child", "children", "adults")),MedicaidNationalPMPMs[Group],0),MATCH(E597,VALUE(MedicaidNationalPMPMs[#Headers]),0))</t>
  </si>
  <si>
    <t>Sources</t>
  </si>
  <si>
    <t>Note: Per 2018 actuarial report, the capitated payments and premiums are expected to increase by 7.3% per year.</t>
  </si>
  <si>
    <t>Medicaid State Plan</t>
  </si>
  <si>
    <t>https://medicaid.ms.gov/about/state-plan/</t>
  </si>
  <si>
    <t>Year</t>
  </si>
  <si>
    <t>Children Medicaid Ages 0</t>
  </si>
  <si>
    <t>Children Medicaid Ages 1-5</t>
  </si>
  <si>
    <t>Children Medicaid Ages 6-18</t>
  </si>
  <si>
    <t>Children Separate CHIP</t>
  </si>
  <si>
    <t>Pregnant Women Medicaid</t>
  </si>
  <si>
    <t>Pregnant Women CHIP</t>
  </si>
  <si>
    <t>Adults (Medicaid) Parent/Caretaker</t>
  </si>
  <si>
    <t>Adults (Medicaid) Expansion to Adults</t>
  </si>
  <si>
    <t>N/A</t>
  </si>
  <si>
    <t> Total</t>
  </si>
  <si>
    <t> Disabled</t>
  </si>
  <si>
    <t> Aged</t>
  </si>
  <si>
    <t>National</t>
  </si>
  <si>
    <t>Expansion Adults</t>
  </si>
  <si>
    <t>Historical</t>
  </si>
  <si>
    <t>Chained Consumer Price Index for All Urban Consumers (C-CPI-U): U.S. city average</t>
  </si>
  <si>
    <t>Original Data Value</t>
  </si>
  <si>
    <t>Series Id:</t>
  </si>
  <si>
    <t>SUUR0000SAM2</t>
  </si>
  <si>
    <t>SUUR0000SAM</t>
  </si>
  <si>
    <t>Not Seasonally Adjusted</t>
  </si>
  <si>
    <t>Series Title:</t>
  </si>
  <si>
    <t>Medical care services in U.S. city average, all urban consumers, chained, not seasonally adjusted</t>
  </si>
  <si>
    <t>Medical care in U.S. city average, all urban consumers, chained, not seasonally adjusted</t>
  </si>
  <si>
    <t>Area:</t>
  </si>
  <si>
    <t>U.S. city average</t>
  </si>
  <si>
    <t>Item:</t>
  </si>
  <si>
    <t>Medical care services</t>
  </si>
  <si>
    <t>Medical care</t>
  </si>
  <si>
    <t>Base Period:</t>
  </si>
  <si>
    <t>DECEMBER 1999=100</t>
  </si>
  <si>
    <t>Years:</t>
  </si>
  <si>
    <t>2014 to 2024</t>
  </si>
  <si>
    <t>Jan</t>
  </si>
  <si>
    <t>Feb</t>
  </si>
  <si>
    <t>Mar</t>
  </si>
  <si>
    <t>Apr</t>
  </si>
  <si>
    <t>May</t>
  </si>
  <si>
    <t>Jun</t>
  </si>
  <si>
    <t>Jul</t>
  </si>
  <si>
    <t>Aug</t>
  </si>
  <si>
    <t>Sep</t>
  </si>
  <si>
    <t>Oct</t>
  </si>
  <si>
    <t>Nov</t>
  </si>
  <si>
    <t>Dec</t>
  </si>
  <si>
    <t>average</t>
  </si>
  <si>
    <t>Factor</t>
  </si>
  <si>
    <t>FFY</t>
  </si>
  <si>
    <t>CY</t>
  </si>
  <si>
    <t>Projected</t>
  </si>
  <si>
    <t>X*</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</si>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</sst>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quot;$&quot;#,##0"/>
    <numFmt numFmtId="166" formatCode="#0.000"/>
    <numFmt numFmtId="167" formatCode="0.00000000000000"/>
  </numFmts>
  <fonts count="22">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u/>
      <sz val="11"/>
      <color theme="10"/>
      <name val="Calibri"/>
      <family val="2"/>
      <scheme val="minor"/>
    </font>
    <font>
      <b/>
      <sz val="11"/>
      <name val="Calibri"/>
      <family val="2"/>
      <scheme val="minor"/>
    </font>
    <font>
      <b/>
      <sz val="11"/>
      <color rgb="FFFF0000"/>
      <name val="Calibri"/>
      <family val="2"/>
      <scheme val="minor"/>
    </font>
    <font>
      <sz val="11"/>
      <name val="Calibri"/>
      <family val="2"/>
      <scheme val="minor"/>
    </font>
    <font>
      <sz val="13"/>
      <color rgb="FF000000"/>
      <name val="&amp;quot"/>
    </font>
    <font>
      <sz val="10"/>
      <color indexed="8"/>
      <name val="Arial"/>
      <family val="2"/>
    </font>
    <font>
      <sz val="10"/>
      <color indexed="8"/>
      <name val="Arial"/>
      <family val="1"/>
      <charset val="204"/>
    </font>
    <font>
      <b/>
      <sz val="9"/>
      <color indexed="81"/>
      <name val="Tahoma"/>
      <family val="2"/>
    </font>
    <font>
      <sz val="9"/>
      <color indexed="81"/>
      <name val="Tahoma"/>
      <family val="2"/>
    </font>
    <font>
      <sz val="8"/>
      <name val="Calibri"/>
      <family val="2"/>
      <scheme val="minor"/>
    </font>
    <font>
      <sz val="11"/>
      <color rgb="FF000000"/>
      <name val="Calibri"/>
      <family val="2"/>
      <scheme val="minor"/>
    </font>
    <font>
      <b/>
      <sz val="11"/>
      <color theme="1"/>
      <name val="Calibri"/>
      <family val="2"/>
      <scheme val="minor"/>
    </font>
    <font>
      <b/>
      <sz val="10"/>
      <color theme="1"/>
      <name val="Calibri"/>
      <family val="2"/>
    </font>
    <font>
      <sz val="11"/>
      <color theme="1"/>
      <name val="Calibri"/>
      <family val="2"/>
    </font>
    <font>
      <sz val="11"/>
      <color indexed="8"/>
      <name val="Calibri"/>
      <family val="2"/>
      <scheme val="minor"/>
    </font>
    <font>
      <b/>
      <sz val="12"/>
      <color indexed="8"/>
      <name val="Arial"/>
      <family val="2"/>
    </font>
    <font>
      <b/>
      <sz val="10"/>
      <color indexed="8"/>
      <name val="Arial"/>
      <family val="2"/>
    </font>
    <font>
      <b/>
      <sz val="11"/>
      <color indexed="8"/>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99"/>
        <bgColor indexed="64"/>
      </patternFill>
    </fill>
  </fills>
  <borders count="5">
    <border>
      <left/>
      <right/>
      <top/>
      <bottom/>
      <diagonal/>
    </border>
    <border>
      <left/>
      <right/>
      <top style="thin">
        <color theme="4" tint="0.39997558519241921"/>
      </top>
      <bottom style="thin">
        <color theme="4" tint="0.39997558519241921"/>
      </bottom>
      <diagonal/>
    </border>
    <border>
      <left/>
      <right/>
      <top style="thin">
        <color rgb="FF000000"/>
      </top>
      <bottom style="thin">
        <color rgb="FF000000"/>
      </bottom>
      <diagonal/>
    </border>
    <border>
      <left/>
      <right style="thin">
        <color theme="4" tint="0.39997558519241921"/>
      </right>
      <top style="thin">
        <color theme="4" tint="0.39997558519241921"/>
      </top>
      <bottom style="thin">
        <color theme="4" tint="0.39997558519241921"/>
      </bottom>
      <diagonal/>
    </border>
    <border>
      <left/>
      <right/>
      <top/>
      <bottom style="thick">
        <color auto="1"/>
      </bottom>
      <diagonal/>
    </border>
  </borders>
  <cellStyleXfs count="5">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1" fillId="0" borderId="0"/>
    <xf numFmtId="0" fontId="18" fillId="0" borderId="0"/>
  </cellStyleXfs>
  <cellXfs count="88">
    <xf numFmtId="0" fontId="0" fillId="0" borderId="0" xfId="0"/>
    <xf numFmtId="0" fontId="5" fillId="0" borderId="0" xfId="0" applyFont="1"/>
    <xf numFmtId="0" fontId="6" fillId="0" borderId="0" xfId="0" applyFont="1"/>
    <xf numFmtId="0" fontId="0" fillId="0" borderId="0" xfId="0" applyAlignment="1">
      <alignment horizontal="center" vertical="center"/>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xf>
    <xf numFmtId="0" fontId="0" fillId="0" borderId="0" xfId="0" applyAlignment="1">
      <alignment vertical="center"/>
    </xf>
    <xf numFmtId="9" fontId="0" fillId="0" borderId="0" xfId="0" applyNumberFormat="1" applyAlignment="1">
      <alignment horizontal="center" vertical="center"/>
    </xf>
    <xf numFmtId="0" fontId="0" fillId="0" borderId="1" xfId="0" applyBorder="1" applyAlignment="1">
      <alignment horizontal="center"/>
    </xf>
    <xf numFmtId="0" fontId="0" fillId="3" borderId="1" xfId="0" applyFill="1" applyBorder="1" applyAlignment="1">
      <alignment horizontal="center"/>
    </xf>
    <xf numFmtId="0" fontId="8" fillId="0" borderId="0" xfId="0" applyFont="1" applyAlignment="1">
      <alignment horizontal="left" vertical="center" indent="1"/>
    </xf>
    <xf numFmtId="0" fontId="8" fillId="0" borderId="0" xfId="0" applyFont="1" applyAlignment="1">
      <alignment horizontal="left" vertical="center" indent="2"/>
    </xf>
    <xf numFmtId="0" fontId="0" fillId="0" borderId="0" xfId="0" applyAlignment="1">
      <alignment horizontal="right"/>
    </xf>
    <xf numFmtId="0" fontId="3" fillId="0" borderId="0" xfId="0" applyFont="1" applyAlignment="1">
      <alignment horizontal="right"/>
    </xf>
    <xf numFmtId="9" fontId="0" fillId="0" borderId="0" xfId="1" applyFont="1"/>
    <xf numFmtId="0" fontId="9" fillId="0" borderId="2" xfId="0" applyFont="1" applyBorder="1" applyAlignment="1">
      <alignment vertical="center" wrapText="1"/>
    </xf>
    <xf numFmtId="3" fontId="9" fillId="0" borderId="0" xfId="0" applyNumberFormat="1" applyFont="1" applyAlignment="1">
      <alignment horizontal="right" vertical="top" wrapText="1"/>
    </xf>
    <xf numFmtId="4" fontId="0" fillId="0" borderId="0" xfId="0" applyNumberFormat="1"/>
    <xf numFmtId="0" fontId="9" fillId="0" borderId="2" xfId="0" applyFont="1" applyBorder="1" applyAlignment="1">
      <alignment vertical="top" wrapText="1"/>
    </xf>
    <xf numFmtId="0" fontId="9" fillId="0" borderId="0" xfId="0" applyFont="1" applyAlignment="1">
      <alignment horizontal="right" vertical="top"/>
    </xf>
    <xf numFmtId="165" fontId="9" fillId="0" borderId="0" xfId="0" applyNumberFormat="1" applyFont="1" applyAlignment="1">
      <alignment horizontal="right" vertical="top"/>
    </xf>
    <xf numFmtId="3" fontId="9" fillId="0" borderId="0" xfId="0" applyNumberFormat="1" applyFont="1" applyAlignment="1">
      <alignment horizontal="right" vertical="top"/>
    </xf>
    <xf numFmtId="3" fontId="10" fillId="0" borderId="0" xfId="0" applyNumberFormat="1" applyFont="1" applyAlignment="1">
      <alignment horizontal="right" vertical="top"/>
    </xf>
    <xf numFmtId="0" fontId="9" fillId="0" borderId="2" xfId="0" applyFont="1" applyBorder="1" applyAlignment="1">
      <alignment wrapText="1"/>
    </xf>
    <xf numFmtId="3" fontId="9" fillId="0" borderId="0" xfId="0" applyNumberFormat="1" applyFont="1" applyAlignment="1">
      <alignment horizontal="right" wrapText="1"/>
    </xf>
    <xf numFmtId="4" fontId="0" fillId="0" borderId="3" xfId="0" applyNumberFormat="1" applyBorder="1"/>
    <xf numFmtId="0" fontId="4" fillId="0" borderId="0" xfId="2"/>
    <xf numFmtId="10" fontId="0" fillId="0" borderId="0" xfId="0" applyNumberFormat="1"/>
    <xf numFmtId="2" fontId="0" fillId="0" borderId="0" xfId="0" applyNumberFormat="1"/>
    <xf numFmtId="3" fontId="0" fillId="0" borderId="0" xfId="0" applyNumberFormat="1"/>
    <xf numFmtId="0" fontId="0" fillId="3" borderId="1" xfId="0" applyFill="1" applyBorder="1"/>
    <xf numFmtId="0" fontId="0" fillId="0" borderId="1" xfId="0" applyBorder="1"/>
    <xf numFmtId="0" fontId="0" fillId="0" borderId="0" xfId="0" applyAlignment="1">
      <alignment horizontal="left"/>
    </xf>
    <xf numFmtId="0" fontId="7" fillId="0" borderId="0" xfId="0" applyFont="1" applyAlignment="1">
      <alignment horizontal="left" vertical="top" wrapText="1"/>
    </xf>
    <xf numFmtId="0" fontId="7" fillId="0" borderId="0" xfId="0" applyFont="1" applyAlignment="1">
      <alignment horizontal="center" vertical="top" wrapText="1"/>
    </xf>
    <xf numFmtId="9" fontId="14" fillId="0" borderId="0" xfId="0" applyNumberFormat="1" applyFont="1" applyAlignment="1">
      <alignment horizontal="right" vertical="top" wrapText="1"/>
    </xf>
    <xf numFmtId="0" fontId="7" fillId="0" borderId="0" xfId="0" applyFont="1" applyAlignment="1">
      <alignment horizontal="right" vertical="top" wrapText="1"/>
    </xf>
    <xf numFmtId="9" fontId="7" fillId="0" borderId="0" xfId="0" applyNumberFormat="1" applyFont="1" applyAlignment="1">
      <alignment horizontal="right" vertical="top" wrapText="1"/>
    </xf>
    <xf numFmtId="0" fontId="7" fillId="0" borderId="0" xfId="0" applyFont="1" applyAlignment="1">
      <alignment vertical="top" wrapText="1"/>
    </xf>
    <xf numFmtId="0" fontId="1" fillId="0" borderId="0" xfId="3"/>
    <xf numFmtId="0" fontId="1" fillId="0" borderId="0" xfId="3" applyAlignment="1">
      <alignment horizontal="center"/>
    </xf>
    <xf numFmtId="9" fontId="1" fillId="0" borderId="0" xfId="3" applyNumberFormat="1" applyAlignment="1">
      <alignment horizontal="right"/>
    </xf>
    <xf numFmtId="0" fontId="1" fillId="0" borderId="0" xfId="3" applyAlignment="1">
      <alignment horizontal="right"/>
    </xf>
    <xf numFmtId="0" fontId="0" fillId="0" borderId="0" xfId="0" applyAlignment="1">
      <alignment horizontal="left" vertical="center" wrapText="1"/>
    </xf>
    <xf numFmtId="15" fontId="0" fillId="0" borderId="0" xfId="0" applyNumberFormat="1" applyAlignment="1">
      <alignment horizontal="center" vertical="center" wrapText="1"/>
    </xf>
    <xf numFmtId="164" fontId="0" fillId="0" borderId="0" xfId="0" applyNumberFormat="1" applyAlignment="1">
      <alignment horizontal="center" vertical="center"/>
    </xf>
    <xf numFmtId="14" fontId="0" fillId="0" borderId="0" xfId="0" applyNumberFormat="1" applyAlignment="1">
      <alignment vertical="center"/>
    </xf>
    <xf numFmtId="4" fontId="0" fillId="0" borderId="0" xfId="0" applyNumberFormat="1" applyAlignment="1">
      <alignment horizontal="right"/>
    </xf>
    <xf numFmtId="0" fontId="15" fillId="0" borderId="0" xfId="0" applyFont="1" applyAlignment="1">
      <alignment vertical="center"/>
    </xf>
    <xf numFmtId="0" fontId="15" fillId="0" borderId="0" xfId="0" applyFont="1" applyAlignment="1">
      <alignment horizontal="right" vertical="center"/>
    </xf>
    <xf numFmtId="4" fontId="15" fillId="0" borderId="0" xfId="0" applyNumberFormat="1" applyFont="1" applyAlignment="1">
      <alignment horizontal="right" vertical="center"/>
    </xf>
    <xf numFmtId="4" fontId="15" fillId="0" borderId="0" xfId="0" applyNumberFormat="1" applyFont="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horizontal="center" vertical="center" wrapText="1"/>
    </xf>
    <xf numFmtId="0" fontId="17" fillId="0" borderId="0" xfId="0" applyFont="1"/>
    <xf numFmtId="0" fontId="17" fillId="0" borderId="0" xfId="0" applyFont="1" applyAlignment="1">
      <alignment horizontal="center"/>
    </xf>
    <xf numFmtId="4" fontId="16" fillId="0" borderId="0" xfId="0" applyNumberFormat="1" applyFont="1" applyAlignment="1">
      <alignment horizontal="center" vertical="center"/>
    </xf>
    <xf numFmtId="4" fontId="16" fillId="0" borderId="0" xfId="0" applyNumberFormat="1" applyFont="1" applyAlignment="1">
      <alignment horizontal="center" vertical="center" wrapText="1"/>
    </xf>
    <xf numFmtId="4" fontId="17" fillId="0" borderId="0" xfId="0" applyNumberFormat="1" applyFont="1"/>
    <xf numFmtId="4" fontId="17" fillId="0" borderId="0" xfId="0" applyNumberFormat="1" applyFont="1" applyAlignment="1">
      <alignment horizontal="right"/>
    </xf>
    <xf numFmtId="0" fontId="18" fillId="0" borderId="0" xfId="4"/>
    <xf numFmtId="0" fontId="20" fillId="0" borderId="0" xfId="4" applyFont="1" applyAlignment="1">
      <alignment horizontal="left" vertical="top" wrapText="1"/>
    </xf>
    <xf numFmtId="0" fontId="20" fillId="0" borderId="0" xfId="0" applyFont="1" applyAlignment="1">
      <alignment horizontal="left" vertical="top" wrapText="1"/>
    </xf>
    <xf numFmtId="0" fontId="20" fillId="0" borderId="4" xfId="4" applyFont="1" applyBorder="1" applyAlignment="1">
      <alignment horizontal="center" wrapText="1"/>
    </xf>
    <xf numFmtId="0" fontId="20" fillId="0" borderId="4" xfId="0" applyFont="1" applyBorder="1" applyAlignment="1">
      <alignment horizontal="center" wrapText="1"/>
    </xf>
    <xf numFmtId="0" fontId="20" fillId="0" borderId="0" xfId="4" applyFont="1" applyAlignment="1">
      <alignment horizontal="left"/>
    </xf>
    <xf numFmtId="166" fontId="9" fillId="0" borderId="0" xfId="4" applyNumberFormat="1" applyFont="1" applyAlignment="1">
      <alignment horizontal="right"/>
    </xf>
    <xf numFmtId="0" fontId="20" fillId="0" borderId="0" xfId="0" applyFont="1" applyAlignment="1">
      <alignment horizontal="left"/>
    </xf>
    <xf numFmtId="166" fontId="9" fillId="0" borderId="0" xfId="0" applyNumberFormat="1" applyFont="1" applyAlignment="1">
      <alignment horizontal="right"/>
    </xf>
    <xf numFmtId="0" fontId="6" fillId="4" borderId="0" xfId="4" applyFont="1" applyFill="1" applyAlignment="1">
      <alignment horizontal="center"/>
    </xf>
    <xf numFmtId="166" fontId="18" fillId="0" borderId="0" xfId="4" applyNumberFormat="1"/>
    <xf numFmtId="0" fontId="3" fillId="4" borderId="0" xfId="4" applyFont="1" applyFill="1" applyAlignment="1">
      <alignment horizontal="center"/>
    </xf>
    <xf numFmtId="0" fontId="21" fillId="0" borderId="0" xfId="4" applyFont="1"/>
    <xf numFmtId="166" fontId="21" fillId="0" borderId="0" xfId="4" applyNumberFormat="1" applyFont="1"/>
    <xf numFmtId="167" fontId="6" fillId="4" borderId="0" xfId="4" applyNumberFormat="1" applyFont="1" applyFill="1" applyAlignment="1">
      <alignment horizontal="center"/>
    </xf>
    <xf numFmtId="9" fontId="14" fillId="0" borderId="0" xfId="0" applyNumberFormat="1" applyFont="1" applyAlignment="1">
      <alignment horizontal="right" wrapText="1"/>
    </xf>
    <xf numFmtId="0" fontId="9" fillId="0" borderId="0" xfId="4" applyFont="1" applyAlignment="1">
      <alignment horizontal="left"/>
    </xf>
    <xf numFmtId="0" fontId="18" fillId="0" borderId="0" xfId="4"/>
    <xf numFmtId="0" fontId="9" fillId="0" borderId="0" xfId="0" applyFont="1" applyAlignment="1">
      <alignment horizontal="left"/>
    </xf>
    <xf numFmtId="0" fontId="0" fillId="0" borderId="0" xfId="0"/>
    <xf numFmtId="0" fontId="9" fillId="0" borderId="0" xfId="4" applyFont="1" applyAlignment="1">
      <alignment horizontal="left" vertical="top" wrapText="1"/>
    </xf>
    <xf numFmtId="0" fontId="9" fillId="0" borderId="0" xfId="0" applyFont="1" applyAlignment="1">
      <alignment horizontal="left" vertical="top" wrapText="1"/>
    </xf>
    <xf numFmtId="0" fontId="20" fillId="0" borderId="0" xfId="4" applyFont="1" applyAlignment="1">
      <alignment horizontal="left" vertical="top" wrapText="1"/>
    </xf>
    <xf numFmtId="0" fontId="20" fillId="0" borderId="0" xfId="0" applyFont="1" applyAlignment="1">
      <alignment horizontal="left" vertical="top" wrapText="1"/>
    </xf>
    <xf numFmtId="0" fontId="19" fillId="0" borderId="0" xfId="4" applyFont="1" applyAlignment="1">
      <alignment horizontal="left"/>
    </xf>
    <xf numFmtId="0" fontId="19" fillId="0" borderId="0" xfId="0" applyFont="1" applyAlignment="1">
      <alignment horizontal="left"/>
    </xf>
  </cellXfs>
  <cellStyles count="5">
    <cellStyle name="Hyperlink" xfId="2" builtinId="8"/>
    <cellStyle name="Normal" xfId="0" builtinId="0"/>
    <cellStyle name="Normal 2" xfId="3" xr:uid="{1944F796-8860-403D-9745-0031E18BEB04}"/>
    <cellStyle name="Normal 2 2" xfId="4" xr:uid="{AC3CCC20-681A-46BF-8BCC-64E041353990}"/>
    <cellStyle name="Percent" xfId="1" builtinId="5"/>
  </cellStyles>
  <dxfs count="52">
    <dxf>
      <font>
        <b val="0"/>
        <i val="0"/>
        <strike val="0"/>
        <condense val="0"/>
        <extend val="0"/>
        <outline val="0"/>
        <shadow val="0"/>
        <u val="none"/>
        <vertAlign val="baseline"/>
        <sz val="11"/>
        <color theme="1"/>
        <name val="Calibri"/>
        <family val="2"/>
        <scheme val="none"/>
      </font>
      <numFmt numFmtId="4" formatCode="#,##0.00"/>
    </dxf>
    <dxf>
      <font>
        <b val="0"/>
        <i val="0"/>
        <strike val="0"/>
        <condense val="0"/>
        <extend val="0"/>
        <outline val="0"/>
        <shadow val="0"/>
        <u val="none"/>
        <vertAlign val="baseline"/>
        <sz val="11"/>
        <color theme="1"/>
        <name val="Calibri"/>
        <family val="2"/>
        <scheme val="none"/>
      </font>
      <numFmt numFmtId="4" formatCode="#,##0.00"/>
    </dxf>
    <dxf>
      <font>
        <b val="0"/>
        <i val="0"/>
        <strike val="0"/>
        <condense val="0"/>
        <extend val="0"/>
        <outline val="0"/>
        <shadow val="0"/>
        <u val="none"/>
        <vertAlign val="baseline"/>
        <sz val="11"/>
        <color theme="1"/>
        <name val="Calibri"/>
        <family val="2"/>
        <scheme val="none"/>
      </font>
      <numFmt numFmtId="4" formatCode="#,##0.00"/>
    </dxf>
    <dxf>
      <font>
        <b val="0"/>
        <i val="0"/>
        <strike val="0"/>
        <condense val="0"/>
        <extend val="0"/>
        <outline val="0"/>
        <shadow val="0"/>
        <u val="none"/>
        <vertAlign val="baseline"/>
        <sz val="11"/>
        <color theme="1"/>
        <name val="Calibri"/>
        <family val="2"/>
        <scheme val="none"/>
      </font>
      <numFmt numFmtId="4" formatCode="#,##0.00"/>
    </dxf>
    <dxf>
      <font>
        <b val="0"/>
        <i val="0"/>
        <strike val="0"/>
        <condense val="0"/>
        <extend val="0"/>
        <outline val="0"/>
        <shadow val="0"/>
        <u val="none"/>
        <vertAlign val="baseline"/>
        <sz val="11"/>
        <color theme="1"/>
        <name val="Calibri"/>
        <family val="2"/>
        <scheme val="none"/>
      </font>
      <numFmt numFmtId="4" formatCode="#,##0.00"/>
    </dxf>
    <dxf>
      <font>
        <b val="0"/>
        <i val="0"/>
        <strike val="0"/>
        <condense val="0"/>
        <extend val="0"/>
        <outline val="0"/>
        <shadow val="0"/>
        <u val="none"/>
        <vertAlign val="baseline"/>
        <sz val="11"/>
        <color theme="1"/>
        <name val="Calibri"/>
        <family val="2"/>
        <scheme val="none"/>
      </font>
      <numFmt numFmtId="4" formatCode="#,##0.0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dxf>
    <dxf>
      <numFmt numFmtId="4" formatCode="#,##0.00"/>
    </dxf>
    <dxf>
      <numFmt numFmtId="4" formatCode="#,##0.00"/>
    </dxf>
    <dxf>
      <numFmt numFmtId="4" formatCode="#,##0.00"/>
    </dxf>
    <dxf>
      <numFmt numFmtId="4" formatCode="#,##0.00"/>
    </dxf>
    <dxf>
      <numFmt numFmtId="4" formatCode="#,##0.00"/>
    </dxf>
    <dxf>
      <numFmt numFmtId="2" formatCode="0.00"/>
    </dxf>
    <dxf>
      <alignment horizontal="center" vertical="bottom" textRotation="0" wrapText="0" indent="0" justifyLastLine="0" shrinkToFit="0" readingOrder="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alignment horizontal="general" vertical="center" textRotation="0" wrapText="1" indent="0" justifyLastLine="0" shrinkToFit="0" readingOrder="0"/>
      <border diagonalUp="0" diagonalDown="0">
        <left/>
        <right/>
        <top style="thin">
          <color rgb="FF000000"/>
        </top>
        <bottom style="thin">
          <color rgb="FF000000"/>
        </bottom>
        <vertical/>
        <horizontal/>
      </border>
    </dxf>
    <dxf>
      <numFmt numFmtId="13" formatCode="0%"/>
    </dxf>
    <dxf>
      <alignment horizontal="center" vertical="center" textRotation="0" wrapText="0" indent="0" justifyLastLine="0" shrinkToFit="0" readingOrder="0"/>
    </dxf>
    <dxf>
      <alignment vertical="center" textRotation="0" indent="0" justifyLastLine="0" shrinkToFit="0" readingOrder="0"/>
    </dxf>
    <dxf>
      <numFmt numFmtId="13" formatCode="0%"/>
      <alignment horizontal="center" vertical="center" textRotation="0" wrapText="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Documents\Just%20Saying%20That\Consulting\GCO\Cliff%20Development\Cliff%20Model%20Working%20Group-v12.8w1.xlsm" TargetMode="External"/><Relationship Id="rId1" Type="http://schemas.openxmlformats.org/officeDocument/2006/relationships/externalLinkPath" Target="/Users/Owner/Documents/Just%20Saying%20That/Consulting/GCO/Cliff%20Development/Cliff%20Model%20Working%20Group-v12.8w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05eebcf225b5e6d/Documents/1-Georgia%20Center%20for%20Opportunity/Project-Cliff%20Expansion/Cliff%20Model%20Georgia%20v3d%20Sour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phs"/>
      <sheetName val="Export"/>
      <sheetName val="Analysis"/>
      <sheetName val="Income Compare Graphs"/>
      <sheetName val="Output Income Compare"/>
      <sheetName val="Output Marriage Penalty"/>
      <sheetName val="State Compare Graphs"/>
      <sheetName val="Output State Compare"/>
      <sheetName val="Output"/>
      <sheetName val="Inputs"/>
      <sheetName val="Calc1"/>
      <sheetName val="FPIG"/>
      <sheetName val="FICA"/>
      <sheetName val="fTax"/>
      <sheetName val="CTC"/>
      <sheetName val="EITC"/>
      <sheetName val="TANF"/>
      <sheetName val="sTax"/>
      <sheetName val="sTax2"/>
      <sheetName val="sEITC"/>
      <sheetName val="HIX"/>
      <sheetName val="SSI"/>
      <sheetName val="sSSI"/>
      <sheetName val="SNAP"/>
      <sheetName val="WIC"/>
      <sheetName val="NSLP"/>
      <sheetName val="Mcaid"/>
      <sheetName val="CHIP"/>
      <sheetName val="CCare"/>
      <sheetName val="Sec8"/>
      <sheetName val="LIHEAP"/>
      <sheetName val="States"/>
      <sheetName val="Subdivisions"/>
      <sheetName val="Lists"/>
      <sheetName val="Codes"/>
      <sheetName val="Federal Sources"/>
      <sheetName val="State Sources"/>
      <sheetName val="Tables"/>
      <sheetName val="Defined Name Table"/>
      <sheetName val="Cliff Model Working Group-v12"/>
    </sheetNames>
    <sheetDataSet>
      <sheetData sheetId="0"/>
      <sheetData sheetId="1"/>
      <sheetData sheetId="2"/>
      <sheetData sheetId="3"/>
      <sheetData sheetId="4"/>
      <sheetData sheetId="5"/>
      <sheetData sheetId="6"/>
      <sheetData sheetId="7"/>
      <sheetData sheetId="8"/>
      <sheetData sheetId="9">
        <row r="5">
          <cell r="C5">
            <v>2022</v>
          </cell>
        </row>
        <row r="6">
          <cell r="C6" t="str">
            <v>Missouri</v>
          </cell>
        </row>
        <row r="7">
          <cell r="C7" t="str">
            <v>Statewide Average</v>
          </cell>
        </row>
        <row r="11">
          <cell r="C11" t="str">
            <v>Yes</v>
          </cell>
          <cell r="D11">
            <v>28</v>
          </cell>
          <cell r="H11" t="str">
            <v>No</v>
          </cell>
        </row>
        <row r="26">
          <cell r="D26" t="b">
            <v>1</v>
          </cell>
        </row>
        <row r="27">
          <cell r="D27" t="b">
            <v>1</v>
          </cell>
        </row>
        <row r="28">
          <cell r="D28" t="b">
            <v>1</v>
          </cell>
        </row>
        <row r="29">
          <cell r="D29" t="b">
            <v>1</v>
          </cell>
        </row>
        <row r="30">
          <cell r="D30" t="b">
            <v>1</v>
          </cell>
        </row>
        <row r="31">
          <cell r="D31" t="b">
            <v>1</v>
          </cell>
        </row>
        <row r="32">
          <cell r="D32" t="b">
            <v>1</v>
          </cell>
        </row>
        <row r="33">
          <cell r="D33" t="b">
            <v>1</v>
          </cell>
        </row>
        <row r="34">
          <cell r="D34" t="b">
            <v>1</v>
          </cell>
        </row>
        <row r="35">
          <cell r="D35" t="b">
            <v>1</v>
          </cell>
        </row>
        <row r="36">
          <cell r="D36" t="b">
            <v>1</v>
          </cell>
        </row>
        <row r="37">
          <cell r="D37" t="b">
            <v>1</v>
          </cell>
        </row>
        <row r="38">
          <cell r="D38" t="b">
            <v>1</v>
          </cell>
        </row>
        <row r="39">
          <cell r="D39" t="b">
            <v>1</v>
          </cell>
        </row>
        <row r="40">
          <cell r="D40" t="b">
            <v>1</v>
          </cell>
        </row>
        <row r="41">
          <cell r="D41" t="b">
            <v>1</v>
          </cell>
        </row>
        <row r="42">
          <cell r="D42" t="b">
            <v>1</v>
          </cell>
        </row>
        <row r="43">
          <cell r="D43" t="b">
            <v>1</v>
          </cell>
        </row>
        <row r="44">
          <cell r="D44" t="b">
            <v>1</v>
          </cell>
        </row>
      </sheetData>
      <sheetData sheetId="10">
        <row r="2">
          <cell r="N2">
            <v>1</v>
          </cell>
          <cell r="O2">
            <v>2</v>
          </cell>
          <cell r="P2">
            <v>3</v>
          </cell>
          <cell r="Q2">
            <v>4</v>
          </cell>
          <cell r="R2">
            <v>5</v>
          </cell>
          <cell r="S2">
            <v>6</v>
          </cell>
          <cell r="T2">
            <v>7</v>
          </cell>
          <cell r="U2">
            <v>8</v>
          </cell>
          <cell r="V2">
            <v>9</v>
          </cell>
          <cell r="W2">
            <v>10</v>
          </cell>
          <cell r="X2">
            <v>11</v>
          </cell>
          <cell r="Y2">
            <v>12</v>
          </cell>
          <cell r="Z2">
            <v>13</v>
          </cell>
          <cell r="AA2">
            <v>14</v>
          </cell>
          <cell r="AB2">
            <v>15</v>
          </cell>
          <cell r="AC2">
            <v>16</v>
          </cell>
          <cell r="AD2">
            <v>17</v>
          </cell>
          <cell r="AE2">
            <v>18</v>
          </cell>
          <cell r="AF2">
            <v>19</v>
          </cell>
          <cell r="AG2">
            <v>20</v>
          </cell>
          <cell r="AH2">
            <v>21</v>
          </cell>
          <cell r="AI2">
            <v>22</v>
          </cell>
          <cell r="AJ2">
            <v>23</v>
          </cell>
          <cell r="AK2">
            <v>24</v>
          </cell>
          <cell r="AL2">
            <v>25</v>
          </cell>
          <cell r="AM2">
            <v>26</v>
          </cell>
          <cell r="AN2">
            <v>27</v>
          </cell>
          <cell r="AO2">
            <v>28</v>
          </cell>
          <cell r="AP2">
            <v>29</v>
          </cell>
          <cell r="AQ2">
            <v>30</v>
          </cell>
          <cell r="AR2">
            <v>31</v>
          </cell>
          <cell r="AS2">
            <v>32</v>
          </cell>
          <cell r="AT2">
            <v>33</v>
          </cell>
          <cell r="AU2">
            <v>34</v>
          </cell>
          <cell r="AV2">
            <v>35</v>
          </cell>
          <cell r="AW2">
            <v>36</v>
          </cell>
          <cell r="AX2">
            <v>37</v>
          </cell>
          <cell r="AY2">
            <v>38</v>
          </cell>
          <cell r="AZ2">
            <v>39</v>
          </cell>
          <cell r="BA2">
            <v>40</v>
          </cell>
          <cell r="BB2">
            <v>41</v>
          </cell>
          <cell r="BC2">
            <v>42</v>
          </cell>
          <cell r="BD2">
            <v>43</v>
          </cell>
          <cell r="BE2">
            <v>44</v>
          </cell>
          <cell r="BF2">
            <v>45</v>
          </cell>
          <cell r="BG2">
            <v>46</v>
          </cell>
          <cell r="BH2">
            <v>47</v>
          </cell>
          <cell r="BI2">
            <v>48</v>
          </cell>
          <cell r="BJ2">
            <v>49</v>
          </cell>
          <cell r="BK2">
            <v>50</v>
          </cell>
          <cell r="BL2">
            <v>51</v>
          </cell>
          <cell r="BM2">
            <v>52</v>
          </cell>
          <cell r="BN2">
            <v>53</v>
          </cell>
          <cell r="BO2">
            <v>54</v>
          </cell>
          <cell r="BP2">
            <v>55</v>
          </cell>
          <cell r="BQ2">
            <v>56</v>
          </cell>
          <cell r="BR2">
            <v>57</v>
          </cell>
          <cell r="BS2">
            <v>58</v>
          </cell>
          <cell r="BT2">
            <v>59</v>
          </cell>
          <cell r="BU2">
            <v>60</v>
          </cell>
          <cell r="BV2">
            <v>61</v>
          </cell>
          <cell r="BW2">
            <v>62</v>
          </cell>
          <cell r="BX2">
            <v>63</v>
          </cell>
          <cell r="BY2">
            <v>64</v>
          </cell>
          <cell r="BZ2">
            <v>65</v>
          </cell>
          <cell r="CA2">
            <v>66</v>
          </cell>
          <cell r="CB2">
            <v>67</v>
          </cell>
          <cell r="CC2">
            <v>68</v>
          </cell>
          <cell r="CD2">
            <v>69</v>
          </cell>
          <cell r="CE2">
            <v>70</v>
          </cell>
          <cell r="CF2">
            <v>71</v>
          </cell>
          <cell r="CG2">
            <v>72</v>
          </cell>
          <cell r="CH2">
            <v>73</v>
          </cell>
          <cell r="CI2">
            <v>74</v>
          </cell>
          <cell r="CJ2">
            <v>75</v>
          </cell>
          <cell r="CK2">
            <v>76</v>
          </cell>
          <cell r="CL2">
            <v>77</v>
          </cell>
          <cell r="CM2">
            <v>78</v>
          </cell>
          <cell r="CN2">
            <v>79</v>
          </cell>
          <cell r="CO2">
            <v>80</v>
          </cell>
          <cell r="CP2">
            <v>81</v>
          </cell>
          <cell r="CQ2">
            <v>82</v>
          </cell>
          <cell r="CR2">
            <v>83</v>
          </cell>
          <cell r="CS2">
            <v>84</v>
          </cell>
          <cell r="CT2">
            <v>85</v>
          </cell>
          <cell r="CU2">
            <v>86</v>
          </cell>
          <cell r="CV2">
            <v>87</v>
          </cell>
          <cell r="CW2">
            <v>88</v>
          </cell>
          <cell r="CX2">
            <v>89</v>
          </cell>
          <cell r="CY2">
            <v>90</v>
          </cell>
          <cell r="CZ2">
            <v>91</v>
          </cell>
          <cell r="DA2">
            <v>92</v>
          </cell>
          <cell r="DB2">
            <v>93</v>
          </cell>
          <cell r="DC2">
            <v>94</v>
          </cell>
          <cell r="DD2">
            <v>95</v>
          </cell>
          <cell r="DE2">
            <v>96</v>
          </cell>
          <cell r="DF2">
            <v>97</v>
          </cell>
          <cell r="DG2">
            <v>98</v>
          </cell>
          <cell r="DH2">
            <v>99</v>
          </cell>
          <cell r="DI2">
            <v>100</v>
          </cell>
          <cell r="DJ2">
            <v>101</v>
          </cell>
          <cell r="DK2">
            <v>102</v>
          </cell>
          <cell r="DL2">
            <v>103</v>
          </cell>
          <cell r="DM2">
            <v>104</v>
          </cell>
          <cell r="DN2">
            <v>105</v>
          </cell>
          <cell r="DO2">
            <v>106</v>
          </cell>
          <cell r="DP2">
            <v>107</v>
          </cell>
          <cell r="DQ2">
            <v>108</v>
          </cell>
          <cell r="DR2">
            <v>109</v>
          </cell>
          <cell r="DS2">
            <v>110</v>
          </cell>
          <cell r="DT2">
            <v>111</v>
          </cell>
          <cell r="DU2">
            <v>112</v>
          </cell>
          <cell r="DV2">
            <v>113</v>
          </cell>
          <cell r="DW2">
            <v>114</v>
          </cell>
          <cell r="DX2">
            <v>115</v>
          </cell>
          <cell r="DY2">
            <v>116</v>
          </cell>
          <cell r="DZ2">
            <v>117</v>
          </cell>
          <cell r="EA2">
            <v>118</v>
          </cell>
          <cell r="EB2">
            <v>119</v>
          </cell>
          <cell r="EC2">
            <v>120</v>
          </cell>
          <cell r="ED2">
            <v>121</v>
          </cell>
          <cell r="EE2">
            <v>122</v>
          </cell>
          <cell r="EF2">
            <v>123</v>
          </cell>
          <cell r="EG2">
            <v>124</v>
          </cell>
          <cell r="EH2">
            <v>125</v>
          </cell>
          <cell r="EI2">
            <v>126</v>
          </cell>
          <cell r="EJ2">
            <v>127</v>
          </cell>
          <cell r="EK2">
            <v>128</v>
          </cell>
          <cell r="EL2">
            <v>129</v>
          </cell>
          <cell r="EM2">
            <v>130</v>
          </cell>
          <cell r="EN2">
            <v>131</v>
          </cell>
          <cell r="EO2">
            <v>132</v>
          </cell>
          <cell r="EP2">
            <v>133</v>
          </cell>
          <cell r="EQ2">
            <v>134</v>
          </cell>
          <cell r="ER2">
            <v>135</v>
          </cell>
          <cell r="ES2">
            <v>136</v>
          </cell>
          <cell r="ET2">
            <v>137</v>
          </cell>
          <cell r="EU2">
            <v>138</v>
          </cell>
          <cell r="EV2">
            <v>139</v>
          </cell>
          <cell r="EW2">
            <v>140</v>
          </cell>
          <cell r="EX2">
            <v>141</v>
          </cell>
          <cell r="EY2">
            <v>142</v>
          </cell>
          <cell r="EZ2">
            <v>143</v>
          </cell>
          <cell r="FA2">
            <v>144</v>
          </cell>
          <cell r="FB2">
            <v>145</v>
          </cell>
          <cell r="FC2">
            <v>146</v>
          </cell>
          <cell r="FD2">
            <v>147</v>
          </cell>
          <cell r="FE2">
            <v>148</v>
          </cell>
          <cell r="FF2">
            <v>149</v>
          </cell>
          <cell r="FG2">
            <v>150</v>
          </cell>
          <cell r="FH2">
            <v>151</v>
          </cell>
          <cell r="FI2">
            <v>152</v>
          </cell>
          <cell r="FJ2">
            <v>153</v>
          </cell>
          <cell r="FK2">
            <v>154</v>
          </cell>
          <cell r="FL2">
            <v>155</v>
          </cell>
          <cell r="FM2">
            <v>156</v>
          </cell>
          <cell r="FN2">
            <v>157</v>
          </cell>
          <cell r="FO2">
            <v>158</v>
          </cell>
          <cell r="FP2">
            <v>159</v>
          </cell>
          <cell r="FQ2">
            <v>160</v>
          </cell>
          <cell r="FR2">
            <v>161</v>
          </cell>
          <cell r="FS2">
            <v>162</v>
          </cell>
          <cell r="FT2">
            <v>163</v>
          </cell>
          <cell r="FU2">
            <v>164</v>
          </cell>
          <cell r="FV2">
            <v>165</v>
          </cell>
          <cell r="FW2">
            <v>166</v>
          </cell>
          <cell r="FX2">
            <v>167</v>
          </cell>
          <cell r="FY2">
            <v>168</v>
          </cell>
          <cell r="FZ2">
            <v>169</v>
          </cell>
          <cell r="GA2">
            <v>170</v>
          </cell>
          <cell r="GB2">
            <v>171</v>
          </cell>
          <cell r="GC2">
            <v>172</v>
          </cell>
          <cell r="GD2">
            <v>173</v>
          </cell>
          <cell r="GE2">
            <v>174</v>
          </cell>
          <cell r="GF2">
            <v>175</v>
          </cell>
          <cell r="GG2">
            <v>176</v>
          </cell>
          <cell r="GH2">
            <v>177</v>
          </cell>
          <cell r="GI2">
            <v>178</v>
          </cell>
          <cell r="GJ2">
            <v>179</v>
          </cell>
          <cell r="GK2">
            <v>180</v>
          </cell>
          <cell r="GL2">
            <v>181</v>
          </cell>
          <cell r="GM2">
            <v>182</v>
          </cell>
          <cell r="GN2">
            <v>183</v>
          </cell>
          <cell r="GO2">
            <v>184</v>
          </cell>
          <cell r="GP2">
            <v>185</v>
          </cell>
          <cell r="GQ2">
            <v>186</v>
          </cell>
          <cell r="GR2">
            <v>187</v>
          </cell>
          <cell r="GS2">
            <v>188</v>
          </cell>
          <cell r="GT2">
            <v>189</v>
          </cell>
          <cell r="GU2">
            <v>190</v>
          </cell>
          <cell r="GV2">
            <v>191</v>
          </cell>
          <cell r="GW2">
            <v>192</v>
          </cell>
          <cell r="GX2">
            <v>193</v>
          </cell>
          <cell r="GY2">
            <v>194</v>
          </cell>
          <cell r="GZ2">
            <v>195</v>
          </cell>
          <cell r="HA2">
            <v>196</v>
          </cell>
          <cell r="HB2">
            <v>197</v>
          </cell>
          <cell r="HC2">
            <v>198</v>
          </cell>
          <cell r="HD2">
            <v>199</v>
          </cell>
          <cell r="HE2">
            <v>200</v>
          </cell>
          <cell r="HF2">
            <v>201</v>
          </cell>
        </row>
        <row r="5">
          <cell r="N5">
            <v>0</v>
          </cell>
          <cell r="O5">
            <v>0.85941504528810353</v>
          </cell>
          <cell r="P5">
            <v>1.7188300905762071</v>
          </cell>
          <cell r="Q5">
            <v>2.5782451358643104</v>
          </cell>
          <cell r="R5">
            <v>3.4376601811524141</v>
          </cell>
          <cell r="S5">
            <v>4.2970752264405174</v>
          </cell>
          <cell r="T5">
            <v>5.1564902717286207</v>
          </cell>
          <cell r="U5">
            <v>6.015905317016724</v>
          </cell>
          <cell r="V5">
            <v>6.8753203623048282</v>
          </cell>
          <cell r="W5">
            <v>7.7347354075929315</v>
          </cell>
          <cell r="X5">
            <v>8.5941504528810349</v>
          </cell>
          <cell r="Y5">
            <v>9.453565498169139</v>
          </cell>
          <cell r="Z5">
            <v>10.312980543457241</v>
          </cell>
          <cell r="AA5">
            <v>11.172395588745344</v>
          </cell>
          <cell r="AB5">
            <v>12.031810634033448</v>
          </cell>
          <cell r="AC5">
            <v>12.891225679321552</v>
          </cell>
          <cell r="AD5">
            <v>13.750640724609656</v>
          </cell>
          <cell r="AE5">
            <v>14.610055769897759</v>
          </cell>
          <cell r="AF5">
            <v>15.469470815185863</v>
          </cell>
          <cell r="AG5">
            <v>16.328885860473967</v>
          </cell>
          <cell r="AH5">
            <v>17.18830090576207</v>
          </cell>
          <cell r="AI5">
            <v>18.047715951050172</v>
          </cell>
          <cell r="AJ5">
            <v>18.907130996338278</v>
          </cell>
          <cell r="AK5">
            <v>19.766546041626377</v>
          </cell>
          <cell r="AL5">
            <v>20.625961086914483</v>
          </cell>
          <cell r="AM5">
            <v>21.485376132202585</v>
          </cell>
          <cell r="AN5">
            <v>22.344791177490688</v>
          </cell>
          <cell r="AO5">
            <v>23.204206222778794</v>
          </cell>
          <cell r="AP5">
            <v>24.063621268066896</v>
          </cell>
          <cell r="AQ5">
            <v>24.923036313355002</v>
          </cell>
          <cell r="AR5">
            <v>25.782451358643105</v>
          </cell>
          <cell r="AS5">
            <v>26.641866403931207</v>
          </cell>
          <cell r="AT5">
            <v>27.501281449219313</v>
          </cell>
          <cell r="AU5">
            <v>28.360696494507415</v>
          </cell>
          <cell r="AV5">
            <v>29.220111539795518</v>
          </cell>
          <cell r="AW5">
            <v>30.079526585083624</v>
          </cell>
          <cell r="AX5">
            <v>30.938941630371726</v>
          </cell>
          <cell r="AY5">
            <v>31.798356675659829</v>
          </cell>
          <cell r="AZ5">
            <v>32.657771720947935</v>
          </cell>
          <cell r="BA5">
            <v>33.517186766236037</v>
          </cell>
          <cell r="BB5">
            <v>34.376601811524139</v>
          </cell>
          <cell r="BC5">
            <v>35.236016856812242</v>
          </cell>
          <cell r="BD5">
            <v>36.095431902100344</v>
          </cell>
          <cell r="BE5">
            <v>36.954846947388454</v>
          </cell>
          <cell r="BF5">
            <v>37.814261992676556</v>
          </cell>
          <cell r="BG5">
            <v>38.673677037964659</v>
          </cell>
          <cell r="BH5">
            <v>39.533092083252754</v>
          </cell>
          <cell r="BI5">
            <v>40</v>
          </cell>
          <cell r="BJ5">
            <v>40</v>
          </cell>
          <cell r="BK5">
            <v>40</v>
          </cell>
          <cell r="BL5">
            <v>40</v>
          </cell>
          <cell r="BM5">
            <v>40</v>
          </cell>
          <cell r="BN5">
            <v>40</v>
          </cell>
          <cell r="BO5">
            <v>40</v>
          </cell>
          <cell r="BP5">
            <v>40</v>
          </cell>
          <cell r="BQ5">
            <v>40</v>
          </cell>
          <cell r="BR5">
            <v>40</v>
          </cell>
          <cell r="BS5">
            <v>40</v>
          </cell>
          <cell r="BT5">
            <v>40</v>
          </cell>
          <cell r="BU5">
            <v>40</v>
          </cell>
          <cell r="BV5">
            <v>40</v>
          </cell>
          <cell r="BW5">
            <v>40</v>
          </cell>
          <cell r="BX5">
            <v>40</v>
          </cell>
          <cell r="BY5">
            <v>40</v>
          </cell>
          <cell r="BZ5">
            <v>40</v>
          </cell>
          <cell r="CA5">
            <v>40</v>
          </cell>
          <cell r="CB5">
            <v>40</v>
          </cell>
          <cell r="CC5">
            <v>40</v>
          </cell>
          <cell r="CD5">
            <v>40</v>
          </cell>
          <cell r="CE5">
            <v>40</v>
          </cell>
          <cell r="CF5">
            <v>40</v>
          </cell>
          <cell r="CG5">
            <v>40</v>
          </cell>
          <cell r="CH5">
            <v>40</v>
          </cell>
          <cell r="CI5">
            <v>40</v>
          </cell>
          <cell r="CJ5">
            <v>40</v>
          </cell>
          <cell r="CK5">
            <v>40</v>
          </cell>
          <cell r="CL5">
            <v>40</v>
          </cell>
          <cell r="CM5">
            <v>40</v>
          </cell>
          <cell r="CN5">
            <v>40</v>
          </cell>
          <cell r="CO5">
            <v>40</v>
          </cell>
          <cell r="CP5">
            <v>40</v>
          </cell>
          <cell r="CQ5">
            <v>40</v>
          </cell>
          <cell r="CR5">
            <v>40</v>
          </cell>
          <cell r="CS5">
            <v>40</v>
          </cell>
          <cell r="CT5">
            <v>40</v>
          </cell>
          <cell r="CU5">
            <v>40</v>
          </cell>
          <cell r="CV5">
            <v>40</v>
          </cell>
          <cell r="CW5">
            <v>40</v>
          </cell>
          <cell r="CX5">
            <v>40</v>
          </cell>
          <cell r="CY5">
            <v>40</v>
          </cell>
          <cell r="CZ5">
            <v>40</v>
          </cell>
          <cell r="DA5">
            <v>40</v>
          </cell>
          <cell r="DB5">
            <v>40</v>
          </cell>
          <cell r="DC5">
            <v>40</v>
          </cell>
          <cell r="DD5">
            <v>40</v>
          </cell>
          <cell r="DE5">
            <v>40</v>
          </cell>
          <cell r="DF5">
            <v>40</v>
          </cell>
          <cell r="DG5">
            <v>40</v>
          </cell>
          <cell r="DH5">
            <v>40</v>
          </cell>
          <cell r="DI5">
            <v>40</v>
          </cell>
          <cell r="DJ5">
            <v>40</v>
          </cell>
          <cell r="DK5">
            <v>40</v>
          </cell>
          <cell r="DL5">
            <v>40</v>
          </cell>
          <cell r="DM5">
            <v>40</v>
          </cell>
          <cell r="DN5">
            <v>40</v>
          </cell>
          <cell r="DO5">
            <v>40</v>
          </cell>
          <cell r="DP5">
            <v>40</v>
          </cell>
          <cell r="DQ5">
            <v>40</v>
          </cell>
          <cell r="DR5">
            <v>40</v>
          </cell>
          <cell r="DS5">
            <v>40</v>
          </cell>
          <cell r="DT5">
            <v>40</v>
          </cell>
          <cell r="DU5">
            <v>40</v>
          </cell>
          <cell r="DV5">
            <v>40</v>
          </cell>
          <cell r="DW5">
            <v>40</v>
          </cell>
          <cell r="DX5">
            <v>40</v>
          </cell>
          <cell r="DY5">
            <v>40</v>
          </cell>
          <cell r="DZ5">
            <v>40</v>
          </cell>
          <cell r="EA5">
            <v>40</v>
          </cell>
          <cell r="EB5">
            <v>40</v>
          </cell>
          <cell r="EC5">
            <v>40</v>
          </cell>
          <cell r="ED5">
            <v>40</v>
          </cell>
          <cell r="EE5">
            <v>40</v>
          </cell>
          <cell r="EF5">
            <v>40</v>
          </cell>
          <cell r="EG5">
            <v>40</v>
          </cell>
          <cell r="EH5">
            <v>40</v>
          </cell>
          <cell r="EI5">
            <v>40</v>
          </cell>
          <cell r="EJ5">
            <v>40</v>
          </cell>
          <cell r="EK5">
            <v>40</v>
          </cell>
          <cell r="EL5">
            <v>40</v>
          </cell>
          <cell r="EM5">
            <v>40</v>
          </cell>
          <cell r="EN5">
            <v>40</v>
          </cell>
          <cell r="EO5">
            <v>40</v>
          </cell>
          <cell r="EP5">
            <v>40</v>
          </cell>
          <cell r="EQ5">
            <v>40</v>
          </cell>
          <cell r="ER5">
            <v>40</v>
          </cell>
          <cell r="ES5">
            <v>40</v>
          </cell>
          <cell r="ET5">
            <v>40</v>
          </cell>
          <cell r="EU5">
            <v>40</v>
          </cell>
          <cell r="EV5">
            <v>40</v>
          </cell>
          <cell r="EW5">
            <v>40</v>
          </cell>
          <cell r="EX5">
            <v>40</v>
          </cell>
          <cell r="EY5">
            <v>40</v>
          </cell>
          <cell r="EZ5">
            <v>40</v>
          </cell>
          <cell r="FA5">
            <v>40</v>
          </cell>
          <cell r="FB5">
            <v>40</v>
          </cell>
          <cell r="FC5">
            <v>40</v>
          </cell>
          <cell r="FD5">
            <v>40</v>
          </cell>
          <cell r="FE5">
            <v>40</v>
          </cell>
          <cell r="FF5">
            <v>40</v>
          </cell>
          <cell r="FG5">
            <v>40</v>
          </cell>
          <cell r="FH5">
            <v>40</v>
          </cell>
          <cell r="FI5">
            <v>40</v>
          </cell>
          <cell r="FJ5">
            <v>40</v>
          </cell>
          <cell r="FK5">
            <v>40</v>
          </cell>
          <cell r="FL5">
            <v>40</v>
          </cell>
          <cell r="FM5">
            <v>40</v>
          </cell>
          <cell r="FN5">
            <v>40</v>
          </cell>
          <cell r="FO5">
            <v>40</v>
          </cell>
          <cell r="FP5">
            <v>40</v>
          </cell>
          <cell r="FQ5">
            <v>40</v>
          </cell>
          <cell r="FR5">
            <v>40</v>
          </cell>
          <cell r="FS5">
            <v>40</v>
          </cell>
          <cell r="FT5">
            <v>40</v>
          </cell>
          <cell r="FU5">
            <v>40</v>
          </cell>
          <cell r="FV5">
            <v>40</v>
          </cell>
          <cell r="FW5">
            <v>40</v>
          </cell>
          <cell r="FX5">
            <v>40</v>
          </cell>
          <cell r="FY5">
            <v>40</v>
          </cell>
          <cell r="FZ5">
            <v>40</v>
          </cell>
          <cell r="GA5">
            <v>40</v>
          </cell>
          <cell r="GB5">
            <v>40</v>
          </cell>
          <cell r="GC5">
            <v>40</v>
          </cell>
          <cell r="GD5">
            <v>40</v>
          </cell>
          <cell r="GE5">
            <v>40</v>
          </cell>
          <cell r="GF5">
            <v>40</v>
          </cell>
          <cell r="GG5">
            <v>40</v>
          </cell>
          <cell r="GH5">
            <v>40</v>
          </cell>
          <cell r="GI5">
            <v>40</v>
          </cell>
          <cell r="GJ5">
            <v>40</v>
          </cell>
          <cell r="GK5">
            <v>40</v>
          </cell>
          <cell r="GL5">
            <v>40</v>
          </cell>
          <cell r="GM5">
            <v>40</v>
          </cell>
          <cell r="GN5">
            <v>40</v>
          </cell>
          <cell r="GO5">
            <v>40</v>
          </cell>
          <cell r="GP5">
            <v>40</v>
          </cell>
          <cell r="GQ5">
            <v>40</v>
          </cell>
          <cell r="GR5">
            <v>40</v>
          </cell>
          <cell r="GS5">
            <v>40</v>
          </cell>
          <cell r="GT5">
            <v>40</v>
          </cell>
          <cell r="GU5">
            <v>40</v>
          </cell>
          <cell r="GV5">
            <v>40</v>
          </cell>
          <cell r="GW5">
            <v>40</v>
          </cell>
          <cell r="GX5">
            <v>40</v>
          </cell>
          <cell r="GY5">
            <v>40</v>
          </cell>
          <cell r="GZ5">
            <v>40</v>
          </cell>
          <cell r="HA5">
            <v>40</v>
          </cell>
          <cell r="HB5">
            <v>40</v>
          </cell>
          <cell r="HC5">
            <v>40</v>
          </cell>
          <cell r="HD5">
            <v>40</v>
          </cell>
          <cell r="HE5">
            <v>40</v>
          </cell>
          <cell r="HF5">
            <v>40</v>
          </cell>
        </row>
        <row r="6">
          <cell r="N6">
            <v>0</v>
          </cell>
          <cell r="O6">
            <v>41.666666666666664</v>
          </cell>
          <cell r="P6">
            <v>83.333333333333329</v>
          </cell>
          <cell r="Q6">
            <v>125</v>
          </cell>
          <cell r="R6">
            <v>166.66666666666666</v>
          </cell>
          <cell r="S6">
            <v>208.33333333333331</v>
          </cell>
          <cell r="T6">
            <v>249.99999999999997</v>
          </cell>
          <cell r="U6">
            <v>291.66666666666663</v>
          </cell>
          <cell r="V6">
            <v>333.33333333333331</v>
          </cell>
          <cell r="W6">
            <v>375</v>
          </cell>
          <cell r="X6">
            <v>416.66666666666669</v>
          </cell>
          <cell r="Y6">
            <v>458.33333333333337</v>
          </cell>
          <cell r="Z6">
            <v>500.00000000000006</v>
          </cell>
          <cell r="AA6">
            <v>541.66666666666674</v>
          </cell>
          <cell r="AB6">
            <v>583.33333333333337</v>
          </cell>
          <cell r="AC6">
            <v>625</v>
          </cell>
          <cell r="AD6">
            <v>666.66666666666663</v>
          </cell>
          <cell r="AE6">
            <v>708.33333333333326</v>
          </cell>
          <cell r="AF6">
            <v>749.99999999999989</v>
          </cell>
          <cell r="AG6">
            <v>791.66666666666652</v>
          </cell>
          <cell r="AH6">
            <v>833.33333333333314</v>
          </cell>
          <cell r="AI6">
            <v>874.99999999999977</v>
          </cell>
          <cell r="AJ6">
            <v>916.6666666666664</v>
          </cell>
          <cell r="AK6">
            <v>958.33333333333303</v>
          </cell>
          <cell r="AL6">
            <v>999.99999999999966</v>
          </cell>
          <cell r="AM6">
            <v>1041.6666666666663</v>
          </cell>
          <cell r="AN6">
            <v>1083.333333333333</v>
          </cell>
          <cell r="AO6">
            <v>1124.9999999999998</v>
          </cell>
          <cell r="AP6">
            <v>1166.6666666666665</v>
          </cell>
          <cell r="AQ6">
            <v>1208.3333333333333</v>
          </cell>
          <cell r="AR6">
            <v>1250</v>
          </cell>
          <cell r="AS6">
            <v>1291.6666666666667</v>
          </cell>
          <cell r="AT6">
            <v>1333.3333333333335</v>
          </cell>
          <cell r="AU6">
            <v>1375.0000000000002</v>
          </cell>
          <cell r="AV6">
            <v>1416.666666666667</v>
          </cell>
          <cell r="AW6">
            <v>1458.3333333333337</v>
          </cell>
          <cell r="AX6">
            <v>1500.0000000000005</v>
          </cell>
          <cell r="AY6">
            <v>1541.6666666666672</v>
          </cell>
          <cell r="AZ6">
            <v>1583.3333333333339</v>
          </cell>
          <cell r="BA6">
            <v>1625.0000000000007</v>
          </cell>
          <cell r="BB6">
            <v>1666.6666666666674</v>
          </cell>
          <cell r="BC6">
            <v>1708.3333333333342</v>
          </cell>
          <cell r="BD6">
            <v>1750.0000000000009</v>
          </cell>
          <cell r="BE6">
            <v>1791.6666666666677</v>
          </cell>
          <cell r="BF6">
            <v>1833.3333333333344</v>
          </cell>
          <cell r="BG6">
            <v>1875.0000000000011</v>
          </cell>
          <cell r="BH6">
            <v>1916.6666666666679</v>
          </cell>
          <cell r="BI6">
            <v>1958.3333333333346</v>
          </cell>
          <cell r="BJ6">
            <v>2000.0000000000014</v>
          </cell>
          <cell r="BK6">
            <v>2041.6666666666681</v>
          </cell>
          <cell r="BL6">
            <v>2083.3333333333348</v>
          </cell>
          <cell r="BM6">
            <v>2125.0000000000014</v>
          </cell>
          <cell r="BN6">
            <v>2166.6666666666679</v>
          </cell>
          <cell r="BO6">
            <v>2208.3333333333344</v>
          </cell>
          <cell r="BP6">
            <v>2250.0000000000009</v>
          </cell>
          <cell r="BQ6">
            <v>2291.6666666666674</v>
          </cell>
          <cell r="BR6">
            <v>2333.3333333333339</v>
          </cell>
          <cell r="BS6">
            <v>2375.0000000000005</v>
          </cell>
          <cell r="BT6">
            <v>2416.666666666667</v>
          </cell>
          <cell r="BU6">
            <v>2458.3333333333335</v>
          </cell>
          <cell r="BV6">
            <v>2500</v>
          </cell>
          <cell r="BW6">
            <v>2541.6666666666665</v>
          </cell>
          <cell r="BX6">
            <v>2583.333333333333</v>
          </cell>
          <cell r="BY6">
            <v>2624.9999999999995</v>
          </cell>
          <cell r="BZ6">
            <v>2666.6666666666661</v>
          </cell>
          <cell r="CA6">
            <v>2708.3333333333326</v>
          </cell>
          <cell r="CB6">
            <v>2749.9999999999991</v>
          </cell>
          <cell r="CC6">
            <v>2791.6666666666656</v>
          </cell>
          <cell r="CD6">
            <v>2833.3333333333321</v>
          </cell>
          <cell r="CE6">
            <v>2874.9999999999986</v>
          </cell>
          <cell r="CF6">
            <v>2916.6666666666652</v>
          </cell>
          <cell r="CG6">
            <v>2958.3333333333317</v>
          </cell>
          <cell r="CH6">
            <v>2999.9999999999982</v>
          </cell>
          <cell r="CI6">
            <v>3041.6666666666647</v>
          </cell>
          <cell r="CJ6">
            <v>3083.3333333333312</v>
          </cell>
          <cell r="CK6">
            <v>3124.9999999999977</v>
          </cell>
          <cell r="CL6">
            <v>3166.6666666666642</v>
          </cell>
          <cell r="CM6">
            <v>3208.3333333333308</v>
          </cell>
          <cell r="CN6">
            <v>3249.9999999999973</v>
          </cell>
          <cell r="CO6">
            <v>3291.6666666666638</v>
          </cell>
          <cell r="CP6">
            <v>3333.3333333333303</v>
          </cell>
          <cell r="CQ6">
            <v>3374.9999999999968</v>
          </cell>
          <cell r="CR6">
            <v>3416.6666666666633</v>
          </cell>
          <cell r="CS6">
            <v>3458.3333333333298</v>
          </cell>
          <cell r="CT6">
            <v>3499.9999999999964</v>
          </cell>
          <cell r="CU6">
            <v>3541.6666666666629</v>
          </cell>
          <cell r="CV6">
            <v>3583.3333333333294</v>
          </cell>
          <cell r="CW6">
            <v>3624.9999999999959</v>
          </cell>
          <cell r="CX6">
            <v>3666.6666666666624</v>
          </cell>
          <cell r="CY6">
            <v>3708.3333333333289</v>
          </cell>
          <cell r="CZ6">
            <v>3749.9999999999955</v>
          </cell>
          <cell r="DA6">
            <v>3791.666666666662</v>
          </cell>
          <cell r="DB6">
            <v>3833.3333333333285</v>
          </cell>
          <cell r="DC6">
            <v>3874.999999999995</v>
          </cell>
          <cell r="DD6">
            <v>3916.6666666666615</v>
          </cell>
          <cell r="DE6">
            <v>3958.333333333328</v>
          </cell>
          <cell r="DF6">
            <v>3999.9999999999945</v>
          </cell>
          <cell r="DG6">
            <v>4041.6666666666611</v>
          </cell>
          <cell r="DH6">
            <v>4083.3333333333276</v>
          </cell>
          <cell r="DI6">
            <v>4124.9999999999945</v>
          </cell>
          <cell r="DJ6">
            <v>4166.6666666666615</v>
          </cell>
          <cell r="DK6">
            <v>4208.3333333333285</v>
          </cell>
          <cell r="DL6">
            <v>4249.9999999999955</v>
          </cell>
          <cell r="DM6">
            <v>4291.6666666666624</v>
          </cell>
          <cell r="DN6">
            <v>4333.3333333333294</v>
          </cell>
          <cell r="DO6">
            <v>4374.9999999999964</v>
          </cell>
          <cell r="DP6">
            <v>4416.6666666666633</v>
          </cell>
          <cell r="DQ6">
            <v>4458.3333333333303</v>
          </cell>
          <cell r="DR6">
            <v>4499.9999999999973</v>
          </cell>
          <cell r="DS6">
            <v>4541.6666666666642</v>
          </cell>
          <cell r="DT6">
            <v>4583.3333333333312</v>
          </cell>
          <cell r="DU6">
            <v>4624.9999999999982</v>
          </cell>
          <cell r="DV6">
            <v>4666.6666666666652</v>
          </cell>
          <cell r="DW6">
            <v>4708.3333333333321</v>
          </cell>
          <cell r="DX6">
            <v>4749.9999999999991</v>
          </cell>
          <cell r="DY6">
            <v>4791.6666666666661</v>
          </cell>
          <cell r="DZ6">
            <v>4833.333333333333</v>
          </cell>
          <cell r="EA6">
            <v>4875</v>
          </cell>
          <cell r="EB6">
            <v>4916.666666666667</v>
          </cell>
          <cell r="EC6">
            <v>4958.3333333333339</v>
          </cell>
          <cell r="ED6">
            <v>5000.0000000000009</v>
          </cell>
          <cell r="EE6">
            <v>5041.6666666666679</v>
          </cell>
          <cell r="EF6">
            <v>5083.3333333333348</v>
          </cell>
          <cell r="EG6">
            <v>5125.0000000000018</v>
          </cell>
          <cell r="EH6">
            <v>5166.6666666666688</v>
          </cell>
          <cell r="EI6">
            <v>5208.3333333333358</v>
          </cell>
          <cell r="EJ6">
            <v>5250.0000000000027</v>
          </cell>
          <cell r="EK6">
            <v>5291.6666666666697</v>
          </cell>
          <cell r="EL6">
            <v>5333.3333333333367</v>
          </cell>
          <cell r="EM6">
            <v>5375.0000000000036</v>
          </cell>
          <cell r="EN6">
            <v>5416.6666666666706</v>
          </cell>
          <cell r="EO6">
            <v>5458.3333333333376</v>
          </cell>
          <cell r="EP6">
            <v>5500.0000000000045</v>
          </cell>
          <cell r="EQ6">
            <v>5541.6666666666715</v>
          </cell>
          <cell r="ER6">
            <v>5583.3333333333385</v>
          </cell>
          <cell r="ES6">
            <v>5625.0000000000055</v>
          </cell>
          <cell r="ET6">
            <v>5666.6666666666724</v>
          </cell>
          <cell r="EU6">
            <v>5708.3333333333394</v>
          </cell>
          <cell r="EV6">
            <v>5750.0000000000064</v>
          </cell>
          <cell r="EW6">
            <v>5791.6666666666733</v>
          </cell>
          <cell r="EX6">
            <v>5833.3333333333403</v>
          </cell>
          <cell r="EY6">
            <v>5875.0000000000073</v>
          </cell>
          <cell r="EZ6">
            <v>5916.6666666666742</v>
          </cell>
          <cell r="FA6">
            <v>5958.3333333333412</v>
          </cell>
          <cell r="FB6">
            <v>6000.0000000000082</v>
          </cell>
          <cell r="FC6">
            <v>6041.6666666666752</v>
          </cell>
          <cell r="FD6">
            <v>6083.3333333333421</v>
          </cell>
          <cell r="FE6">
            <v>6125.0000000000091</v>
          </cell>
          <cell r="FF6">
            <v>6166.6666666666761</v>
          </cell>
          <cell r="FG6">
            <v>6208.333333333343</v>
          </cell>
          <cell r="FH6">
            <v>6250.00000000001</v>
          </cell>
          <cell r="FI6">
            <v>6291.666666666677</v>
          </cell>
          <cell r="FJ6">
            <v>6333.3333333333439</v>
          </cell>
          <cell r="FK6">
            <v>6375.0000000000109</v>
          </cell>
          <cell r="FL6">
            <v>6416.6666666666779</v>
          </cell>
          <cell r="FM6">
            <v>6458.3333333333449</v>
          </cell>
          <cell r="FN6">
            <v>6500.0000000000118</v>
          </cell>
          <cell r="FO6">
            <v>6541.6666666666788</v>
          </cell>
          <cell r="FP6">
            <v>6583.3333333333458</v>
          </cell>
          <cell r="FQ6">
            <v>6625.0000000000127</v>
          </cell>
          <cell r="FR6">
            <v>6666.6666666666797</v>
          </cell>
          <cell r="FS6">
            <v>6708.3333333333467</v>
          </cell>
          <cell r="FT6">
            <v>6750.0000000000136</v>
          </cell>
          <cell r="FU6">
            <v>6791.6666666666806</v>
          </cell>
          <cell r="FV6">
            <v>6833.3333333333476</v>
          </cell>
          <cell r="FW6">
            <v>6875.0000000000146</v>
          </cell>
          <cell r="FX6">
            <v>6916.6666666666815</v>
          </cell>
          <cell r="FY6">
            <v>6958.3333333333485</v>
          </cell>
          <cell r="FZ6">
            <v>7000.0000000000155</v>
          </cell>
          <cell r="GA6">
            <v>7041.6666666666824</v>
          </cell>
          <cell r="GB6">
            <v>7083.3333333333494</v>
          </cell>
          <cell r="GC6">
            <v>7125.0000000000164</v>
          </cell>
          <cell r="GD6">
            <v>7166.6666666666833</v>
          </cell>
          <cell r="GE6">
            <v>7208.3333333333503</v>
          </cell>
          <cell r="GF6">
            <v>7250.0000000000173</v>
          </cell>
          <cell r="GG6">
            <v>7291.6666666666843</v>
          </cell>
          <cell r="GH6">
            <v>7333.3333333333512</v>
          </cell>
          <cell r="GI6">
            <v>7375.0000000000182</v>
          </cell>
          <cell r="GJ6">
            <v>7416.6666666666852</v>
          </cell>
          <cell r="GK6">
            <v>7458.3333333333521</v>
          </cell>
          <cell r="GL6">
            <v>7500.0000000000191</v>
          </cell>
          <cell r="GM6">
            <v>7541.6666666666861</v>
          </cell>
          <cell r="GN6">
            <v>7583.333333333353</v>
          </cell>
          <cell r="GO6">
            <v>7625.00000000002</v>
          </cell>
          <cell r="GP6">
            <v>7666.666666666687</v>
          </cell>
          <cell r="GQ6">
            <v>7708.3333333333539</v>
          </cell>
          <cell r="GR6">
            <v>7750.0000000000209</v>
          </cell>
          <cell r="GS6">
            <v>7791.6666666666879</v>
          </cell>
          <cell r="GT6">
            <v>7833.3333333333549</v>
          </cell>
          <cell r="GU6">
            <v>7875.0000000000218</v>
          </cell>
          <cell r="GV6">
            <v>7916.6666666666888</v>
          </cell>
          <cell r="GW6">
            <v>7958.3333333333558</v>
          </cell>
          <cell r="GX6">
            <v>8000.0000000000227</v>
          </cell>
          <cell r="GY6">
            <v>8041.6666666666897</v>
          </cell>
          <cell r="GZ6">
            <v>8083.3333333333567</v>
          </cell>
          <cell r="HA6">
            <v>8125.0000000000236</v>
          </cell>
          <cell r="HB6">
            <v>8166.6666666666906</v>
          </cell>
          <cell r="HC6">
            <v>8208.3333333333576</v>
          </cell>
          <cell r="HD6">
            <v>8250.0000000000236</v>
          </cell>
          <cell r="HE6">
            <v>8291.6666666666897</v>
          </cell>
          <cell r="HF6">
            <v>8333.3333333333558</v>
          </cell>
        </row>
        <row r="7">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v>0</v>
          </cell>
          <cell r="DN7">
            <v>0</v>
          </cell>
          <cell r="DO7">
            <v>0</v>
          </cell>
          <cell r="DP7">
            <v>0</v>
          </cell>
          <cell r="DQ7">
            <v>0</v>
          </cell>
          <cell r="DR7">
            <v>0</v>
          </cell>
          <cell r="DS7">
            <v>0</v>
          </cell>
          <cell r="DT7">
            <v>0</v>
          </cell>
          <cell r="DU7">
            <v>0</v>
          </cell>
          <cell r="DV7">
            <v>0</v>
          </cell>
          <cell r="DW7">
            <v>0</v>
          </cell>
          <cell r="DX7">
            <v>0</v>
          </cell>
          <cell r="DY7">
            <v>0</v>
          </cell>
          <cell r="DZ7">
            <v>0</v>
          </cell>
          <cell r="EA7">
            <v>0</v>
          </cell>
          <cell r="EB7">
            <v>0</v>
          </cell>
          <cell r="EC7">
            <v>0</v>
          </cell>
          <cell r="ED7">
            <v>0</v>
          </cell>
          <cell r="EE7">
            <v>0</v>
          </cell>
          <cell r="EF7">
            <v>0</v>
          </cell>
          <cell r="EG7">
            <v>0</v>
          </cell>
          <cell r="EH7">
            <v>0</v>
          </cell>
          <cell r="EI7">
            <v>0</v>
          </cell>
          <cell r="EJ7">
            <v>0</v>
          </cell>
          <cell r="EK7">
            <v>0</v>
          </cell>
          <cell r="EL7">
            <v>0</v>
          </cell>
          <cell r="EM7">
            <v>0</v>
          </cell>
          <cell r="EN7">
            <v>0</v>
          </cell>
          <cell r="EO7">
            <v>0</v>
          </cell>
          <cell r="EP7">
            <v>0</v>
          </cell>
          <cell r="EQ7">
            <v>0</v>
          </cell>
          <cell r="ER7">
            <v>0</v>
          </cell>
          <cell r="ES7">
            <v>0</v>
          </cell>
          <cell r="ET7">
            <v>0</v>
          </cell>
          <cell r="EU7">
            <v>0</v>
          </cell>
          <cell r="EV7">
            <v>0</v>
          </cell>
          <cell r="EW7">
            <v>0</v>
          </cell>
          <cell r="EX7">
            <v>0</v>
          </cell>
          <cell r="EY7">
            <v>0</v>
          </cell>
          <cell r="EZ7">
            <v>0</v>
          </cell>
          <cell r="FA7">
            <v>0</v>
          </cell>
          <cell r="FB7">
            <v>0</v>
          </cell>
          <cell r="FC7">
            <v>0</v>
          </cell>
          <cell r="FD7">
            <v>0</v>
          </cell>
          <cell r="FE7">
            <v>0</v>
          </cell>
          <cell r="FF7">
            <v>0</v>
          </cell>
          <cell r="FG7">
            <v>0</v>
          </cell>
          <cell r="FH7">
            <v>0</v>
          </cell>
          <cell r="FI7">
            <v>0</v>
          </cell>
          <cell r="FJ7">
            <v>0</v>
          </cell>
          <cell r="FK7">
            <v>0</v>
          </cell>
          <cell r="FL7">
            <v>0</v>
          </cell>
          <cell r="FM7">
            <v>0</v>
          </cell>
          <cell r="FN7">
            <v>0</v>
          </cell>
          <cell r="FO7">
            <v>0</v>
          </cell>
          <cell r="FP7">
            <v>0</v>
          </cell>
          <cell r="FQ7">
            <v>0</v>
          </cell>
          <cell r="FR7">
            <v>0</v>
          </cell>
          <cell r="FS7">
            <v>0</v>
          </cell>
          <cell r="FT7">
            <v>0</v>
          </cell>
          <cell r="FU7">
            <v>0</v>
          </cell>
          <cell r="FV7">
            <v>0</v>
          </cell>
          <cell r="FW7">
            <v>0</v>
          </cell>
          <cell r="FX7">
            <v>0</v>
          </cell>
          <cell r="FY7">
            <v>0</v>
          </cell>
          <cell r="FZ7">
            <v>0</v>
          </cell>
          <cell r="GA7">
            <v>0</v>
          </cell>
          <cell r="GB7">
            <v>0</v>
          </cell>
          <cell r="GC7">
            <v>0</v>
          </cell>
          <cell r="GD7">
            <v>0</v>
          </cell>
          <cell r="GE7">
            <v>0</v>
          </cell>
          <cell r="GF7">
            <v>0</v>
          </cell>
          <cell r="GG7">
            <v>0</v>
          </cell>
          <cell r="GH7">
            <v>0</v>
          </cell>
          <cell r="GI7">
            <v>0</v>
          </cell>
          <cell r="GJ7">
            <v>0</v>
          </cell>
          <cell r="GK7">
            <v>0</v>
          </cell>
          <cell r="GL7">
            <v>0</v>
          </cell>
          <cell r="GM7">
            <v>0</v>
          </cell>
          <cell r="GN7">
            <v>0</v>
          </cell>
          <cell r="GO7">
            <v>0</v>
          </cell>
          <cell r="GP7">
            <v>0</v>
          </cell>
          <cell r="GQ7">
            <v>0</v>
          </cell>
          <cell r="GR7">
            <v>0</v>
          </cell>
          <cell r="GS7">
            <v>0</v>
          </cell>
          <cell r="GT7">
            <v>0</v>
          </cell>
          <cell r="GU7">
            <v>0</v>
          </cell>
          <cell r="GV7">
            <v>0</v>
          </cell>
          <cell r="GW7">
            <v>0</v>
          </cell>
          <cell r="GX7">
            <v>0</v>
          </cell>
          <cell r="GY7">
            <v>0</v>
          </cell>
          <cell r="GZ7">
            <v>0</v>
          </cell>
          <cell r="HA7">
            <v>0</v>
          </cell>
          <cell r="HB7">
            <v>0</v>
          </cell>
          <cell r="HC7">
            <v>0</v>
          </cell>
          <cell r="HD7">
            <v>0</v>
          </cell>
          <cell r="HE7">
            <v>0</v>
          </cell>
          <cell r="HF7">
            <v>0</v>
          </cell>
        </row>
        <row r="10">
          <cell r="N10">
            <v>0</v>
          </cell>
          <cell r="O10">
            <v>11.15</v>
          </cell>
          <cell r="P10">
            <v>11.15</v>
          </cell>
          <cell r="Q10">
            <v>11.15</v>
          </cell>
          <cell r="R10">
            <v>11.15</v>
          </cell>
          <cell r="S10">
            <v>11.15</v>
          </cell>
          <cell r="T10">
            <v>11.15</v>
          </cell>
          <cell r="U10">
            <v>11.15</v>
          </cell>
          <cell r="V10">
            <v>11.15</v>
          </cell>
          <cell r="W10">
            <v>11.15</v>
          </cell>
          <cell r="X10">
            <v>11.15</v>
          </cell>
          <cell r="Y10">
            <v>11.15</v>
          </cell>
          <cell r="Z10">
            <v>11.15</v>
          </cell>
          <cell r="AA10">
            <v>11.15</v>
          </cell>
          <cell r="AB10">
            <v>11.15</v>
          </cell>
          <cell r="AC10">
            <v>11.15</v>
          </cell>
          <cell r="AD10">
            <v>11.15</v>
          </cell>
          <cell r="AE10">
            <v>11.15</v>
          </cell>
          <cell r="AF10">
            <v>11.15</v>
          </cell>
          <cell r="AG10">
            <v>11.15</v>
          </cell>
          <cell r="AH10">
            <v>11.15</v>
          </cell>
          <cell r="AI10">
            <v>11.15</v>
          </cell>
          <cell r="AJ10">
            <v>11.15</v>
          </cell>
          <cell r="AK10">
            <v>11.15</v>
          </cell>
          <cell r="AL10">
            <v>11.15</v>
          </cell>
          <cell r="AM10">
            <v>11.15</v>
          </cell>
          <cell r="AN10">
            <v>11.15</v>
          </cell>
          <cell r="AO10">
            <v>11.15</v>
          </cell>
          <cell r="AP10">
            <v>11.15</v>
          </cell>
          <cell r="AQ10">
            <v>11.15</v>
          </cell>
          <cell r="AR10">
            <v>11.15</v>
          </cell>
          <cell r="AS10">
            <v>11.15</v>
          </cell>
          <cell r="AT10">
            <v>11.15</v>
          </cell>
          <cell r="AU10">
            <v>11.15</v>
          </cell>
          <cell r="AV10">
            <v>11.15</v>
          </cell>
          <cell r="AW10">
            <v>11.15</v>
          </cell>
          <cell r="AX10">
            <v>11.15</v>
          </cell>
          <cell r="AY10">
            <v>11.15</v>
          </cell>
          <cell r="AZ10">
            <v>11.15</v>
          </cell>
          <cell r="BA10">
            <v>11.15</v>
          </cell>
          <cell r="BB10">
            <v>11.15</v>
          </cell>
          <cell r="BC10">
            <v>11.15</v>
          </cell>
          <cell r="BD10">
            <v>11.15</v>
          </cell>
          <cell r="BE10">
            <v>11.15</v>
          </cell>
          <cell r="BF10">
            <v>11.15</v>
          </cell>
          <cell r="BG10">
            <v>11.15</v>
          </cell>
          <cell r="BH10">
            <v>11.15</v>
          </cell>
          <cell r="BI10">
            <v>11.15</v>
          </cell>
          <cell r="BJ10">
            <v>11.498973305954825</v>
          </cell>
          <cell r="BK10">
            <v>11.738535249828884</v>
          </cell>
          <cell r="BL10">
            <v>11.978097193702943</v>
          </cell>
          <cell r="BM10">
            <v>12.217659137577002</v>
          </cell>
          <cell r="BN10">
            <v>12.45722108145106</v>
          </cell>
          <cell r="BO10">
            <v>12.69678302532512</v>
          </cell>
          <cell r="BP10">
            <v>12.936344969199178</v>
          </cell>
          <cell r="BQ10">
            <v>13.175906913073238</v>
          </cell>
          <cell r="BR10">
            <v>13.415468856947296</v>
          </cell>
          <cell r="BS10">
            <v>13.655030800821354</v>
          </cell>
          <cell r="BT10">
            <v>13.894592744695414</v>
          </cell>
          <cell r="BU10">
            <v>14.134154688569472</v>
          </cell>
          <cell r="BV10">
            <v>14.373716632443532</v>
          </cell>
          <cell r="BW10">
            <v>14.61327857631759</v>
          </cell>
          <cell r="BX10">
            <v>14.852840520191648</v>
          </cell>
          <cell r="BY10">
            <v>15.092402464065708</v>
          </cell>
          <cell r="BZ10">
            <v>15.331964407939767</v>
          </cell>
          <cell r="CA10">
            <v>15.571526351813825</v>
          </cell>
          <cell r="CB10">
            <v>15.811088295687885</v>
          </cell>
          <cell r="CC10">
            <v>16.050650239561943</v>
          </cell>
          <cell r="CD10">
            <v>16.290212183436001</v>
          </cell>
          <cell r="CE10">
            <v>16.529774127310063</v>
          </cell>
          <cell r="CF10">
            <v>16.769336071184121</v>
          </cell>
          <cell r="CG10">
            <v>17.008898015058179</v>
          </cell>
          <cell r="CH10">
            <v>17.248459958932237</v>
          </cell>
          <cell r="CI10">
            <v>17.488021902806295</v>
          </cell>
          <cell r="CJ10">
            <v>17.727583846680353</v>
          </cell>
          <cell r="CK10">
            <v>17.967145790554415</v>
          </cell>
          <cell r="CL10">
            <v>18.206707734428473</v>
          </cell>
          <cell r="CM10">
            <v>18.446269678302532</v>
          </cell>
          <cell r="CN10">
            <v>18.68583162217659</v>
          </cell>
          <cell r="CO10">
            <v>18.925393566050648</v>
          </cell>
          <cell r="CP10">
            <v>19.16495550992471</v>
          </cell>
          <cell r="CQ10">
            <v>19.404517453798768</v>
          </cell>
          <cell r="CR10">
            <v>19.644079397672826</v>
          </cell>
          <cell r="CS10">
            <v>19.883641341546884</v>
          </cell>
          <cell r="CT10">
            <v>20.123203285420942</v>
          </cell>
          <cell r="CU10">
            <v>20.362765229295004</v>
          </cell>
          <cell r="CV10">
            <v>20.602327173169062</v>
          </cell>
          <cell r="CW10">
            <v>20.84188911704312</v>
          </cell>
          <cell r="CX10">
            <v>21.081451060917178</v>
          </cell>
          <cell r="CY10">
            <v>21.321013004791237</v>
          </cell>
          <cell r="CZ10">
            <v>21.560574948665298</v>
          </cell>
          <cell r="DA10">
            <v>21.800136892539356</v>
          </cell>
          <cell r="DB10">
            <v>22.039698836413415</v>
          </cell>
          <cell r="DC10">
            <v>22.279260780287473</v>
          </cell>
          <cell r="DD10">
            <v>22.518822724161531</v>
          </cell>
          <cell r="DE10">
            <v>22.758384668035593</v>
          </cell>
          <cell r="DF10">
            <v>22.997946611909651</v>
          </cell>
          <cell r="DG10">
            <v>23.237508555783709</v>
          </cell>
          <cell r="DH10">
            <v>23.477070499657767</v>
          </cell>
          <cell r="DI10">
            <v>23.716632443531825</v>
          </cell>
          <cell r="DJ10">
            <v>23.956194387405887</v>
          </cell>
          <cell r="DK10">
            <v>24.195756331279945</v>
          </cell>
          <cell r="DL10">
            <v>24.435318275154003</v>
          </cell>
          <cell r="DM10">
            <v>24.674880219028061</v>
          </cell>
          <cell r="DN10">
            <v>24.91444216290212</v>
          </cell>
          <cell r="DO10">
            <v>25.154004106776181</v>
          </cell>
          <cell r="DP10">
            <v>25.393566050650239</v>
          </cell>
          <cell r="DQ10">
            <v>25.633127994524298</v>
          </cell>
          <cell r="DR10">
            <v>25.872689938398356</v>
          </cell>
          <cell r="DS10">
            <v>26.112251882272414</v>
          </cell>
          <cell r="DT10">
            <v>26.351813826146476</v>
          </cell>
          <cell r="DU10">
            <v>26.591375770020534</v>
          </cell>
          <cell r="DV10">
            <v>26.830937713894592</v>
          </cell>
          <cell r="DW10">
            <v>27.07049965776865</v>
          </cell>
          <cell r="DX10">
            <v>27.310061601642708</v>
          </cell>
          <cell r="DY10">
            <v>27.54962354551677</v>
          </cell>
          <cell r="DZ10">
            <v>27.789185489390828</v>
          </cell>
          <cell r="EA10">
            <v>28.028747433264886</v>
          </cell>
          <cell r="EB10">
            <v>28.268309377138944</v>
          </cell>
          <cell r="EC10">
            <v>28.507871321013003</v>
          </cell>
          <cell r="ED10">
            <v>28.747433264887064</v>
          </cell>
          <cell r="EE10">
            <v>28.986995208761122</v>
          </cell>
          <cell r="EF10">
            <v>29.226557152635181</v>
          </cell>
          <cell r="EG10">
            <v>29.466119096509239</v>
          </cell>
          <cell r="EH10">
            <v>29.705681040383297</v>
          </cell>
          <cell r="EI10">
            <v>29.945242984257355</v>
          </cell>
          <cell r="EJ10">
            <v>30.184804928131417</v>
          </cell>
          <cell r="EK10">
            <v>30.424366872005475</v>
          </cell>
          <cell r="EL10">
            <v>30.663928815879533</v>
          </cell>
          <cell r="EM10">
            <v>30.903490759753591</v>
          </cell>
          <cell r="EN10">
            <v>31.143052703627649</v>
          </cell>
          <cell r="EO10">
            <v>31.382614647501711</v>
          </cell>
          <cell r="EP10">
            <v>31.622176591375769</v>
          </cell>
          <cell r="EQ10">
            <v>31.861738535249827</v>
          </cell>
          <cell r="ER10">
            <v>32.101300479123886</v>
          </cell>
          <cell r="ES10">
            <v>32.340862422997944</v>
          </cell>
          <cell r="ET10">
            <v>32.580424366872002</v>
          </cell>
          <cell r="EU10">
            <v>32.81998631074606</v>
          </cell>
          <cell r="EV10">
            <v>33.059548254620125</v>
          </cell>
          <cell r="EW10">
            <v>33.299110198494184</v>
          </cell>
          <cell r="EX10">
            <v>33.538672142368242</v>
          </cell>
          <cell r="EY10">
            <v>33.7782340862423</v>
          </cell>
          <cell r="EZ10">
            <v>34.017796030116358</v>
          </cell>
          <cell r="FA10">
            <v>34.257357973990416</v>
          </cell>
          <cell r="FB10">
            <v>34.496919917864474</v>
          </cell>
          <cell r="FC10">
            <v>34.736481861738532</v>
          </cell>
          <cell r="FD10">
            <v>34.976043805612591</v>
          </cell>
          <cell r="FE10">
            <v>35.215605749486649</v>
          </cell>
          <cell r="FF10">
            <v>35.455167693360707</v>
          </cell>
          <cell r="FG10">
            <v>35.694729637234772</v>
          </cell>
          <cell r="FH10">
            <v>35.93429158110883</v>
          </cell>
          <cell r="FI10">
            <v>36.173853524982889</v>
          </cell>
          <cell r="FJ10">
            <v>36.413415468856947</v>
          </cell>
          <cell r="FK10">
            <v>36.652977412731005</v>
          </cell>
          <cell r="FL10">
            <v>36.892539356605063</v>
          </cell>
          <cell r="FM10">
            <v>37.132101300479121</v>
          </cell>
          <cell r="FN10">
            <v>37.371663244353179</v>
          </cell>
          <cell r="FO10">
            <v>37.611225188227237</v>
          </cell>
          <cell r="FP10">
            <v>37.850787132101296</v>
          </cell>
          <cell r="FQ10">
            <v>38.090349075975361</v>
          </cell>
          <cell r="FR10">
            <v>38.329911019849419</v>
          </cell>
          <cell r="FS10">
            <v>38.569472963723477</v>
          </cell>
          <cell r="FT10">
            <v>38.809034907597535</v>
          </cell>
          <cell r="FU10">
            <v>39.048596851471594</v>
          </cell>
          <cell r="FV10">
            <v>39.288158795345652</v>
          </cell>
          <cell r="FW10">
            <v>39.52772073921971</v>
          </cell>
          <cell r="FX10">
            <v>39.767282683093768</v>
          </cell>
          <cell r="FY10">
            <v>40.006844626967826</v>
          </cell>
          <cell r="FZ10">
            <v>40.246406570841884</v>
          </cell>
          <cell r="GA10">
            <v>40.48596851471595</v>
          </cell>
          <cell r="GB10">
            <v>40.725530458590008</v>
          </cell>
          <cell r="GC10">
            <v>40.965092402464066</v>
          </cell>
          <cell r="GD10">
            <v>41.204654346338124</v>
          </cell>
          <cell r="GE10">
            <v>41.444216290212182</v>
          </cell>
          <cell r="GF10">
            <v>41.68377823408624</v>
          </cell>
          <cell r="GG10">
            <v>41.923340177960299</v>
          </cell>
          <cell r="GH10">
            <v>42.162902121834357</v>
          </cell>
          <cell r="GI10">
            <v>42.402464065708415</v>
          </cell>
          <cell r="GJ10">
            <v>42.642026009582473</v>
          </cell>
          <cell r="GK10">
            <v>42.881587953456538</v>
          </cell>
          <cell r="GL10">
            <v>43.121149897330596</v>
          </cell>
          <cell r="GM10">
            <v>43.360711841204655</v>
          </cell>
          <cell r="GN10">
            <v>43.600273785078713</v>
          </cell>
          <cell r="GO10">
            <v>43.839835728952771</v>
          </cell>
          <cell r="GP10">
            <v>44.079397672826829</v>
          </cell>
          <cell r="GQ10">
            <v>44.318959616700887</v>
          </cell>
          <cell r="GR10">
            <v>44.558521560574945</v>
          </cell>
          <cell r="GS10">
            <v>44.798083504449004</v>
          </cell>
          <cell r="GT10">
            <v>45.037645448323062</v>
          </cell>
          <cell r="GU10">
            <v>45.277207392197127</v>
          </cell>
          <cell r="GV10">
            <v>45.516769336071185</v>
          </cell>
          <cell r="GW10">
            <v>45.756331279945243</v>
          </cell>
          <cell r="GX10">
            <v>45.995893223819301</v>
          </cell>
          <cell r="GY10">
            <v>46.23545516769336</v>
          </cell>
          <cell r="GZ10">
            <v>46.475017111567418</v>
          </cell>
          <cell r="HA10">
            <v>46.714579055441476</v>
          </cell>
          <cell r="HB10">
            <v>46.954140999315534</v>
          </cell>
          <cell r="HC10">
            <v>47.193702943189592</v>
          </cell>
          <cell r="HD10">
            <v>47.43326488706365</v>
          </cell>
          <cell r="HE10">
            <v>47.672826830937709</v>
          </cell>
          <cell r="HF10">
            <v>47.912388774811774</v>
          </cell>
        </row>
        <row r="45">
          <cell r="N45">
            <v>0</v>
          </cell>
          <cell r="O45">
            <v>41.666666666666664</v>
          </cell>
          <cell r="P45">
            <v>83.333333333333329</v>
          </cell>
          <cell r="Q45">
            <v>125</v>
          </cell>
          <cell r="R45">
            <v>166.66666666666666</v>
          </cell>
          <cell r="S45">
            <v>208.33333333333331</v>
          </cell>
          <cell r="T45">
            <v>249.99999999999997</v>
          </cell>
          <cell r="U45">
            <v>291.66666666666663</v>
          </cell>
          <cell r="V45">
            <v>333.33333333333331</v>
          </cell>
          <cell r="W45">
            <v>375</v>
          </cell>
          <cell r="X45">
            <v>416.66666666666669</v>
          </cell>
          <cell r="Y45">
            <v>458.33333333333337</v>
          </cell>
          <cell r="Z45">
            <v>500.00000000000006</v>
          </cell>
          <cell r="AA45">
            <v>541.66666666666674</v>
          </cell>
          <cell r="AB45">
            <v>583.33333333333337</v>
          </cell>
          <cell r="AC45">
            <v>625</v>
          </cell>
          <cell r="AD45">
            <v>666.66666666666663</v>
          </cell>
          <cell r="AE45">
            <v>708.33333333333326</v>
          </cell>
          <cell r="AF45">
            <v>749.99999999999989</v>
          </cell>
          <cell r="AG45">
            <v>791.66666666666652</v>
          </cell>
          <cell r="AH45">
            <v>833.33333333333314</v>
          </cell>
          <cell r="AI45">
            <v>874.99999999999977</v>
          </cell>
          <cell r="AJ45">
            <v>916.6666666666664</v>
          </cell>
          <cell r="AK45">
            <v>958.33333333333303</v>
          </cell>
          <cell r="AL45">
            <v>999.99999999999966</v>
          </cell>
          <cell r="AM45">
            <v>1041.6666666666663</v>
          </cell>
          <cell r="AN45">
            <v>1083.333333333333</v>
          </cell>
          <cell r="AO45">
            <v>1124.9999999999998</v>
          </cell>
          <cell r="AP45">
            <v>1166.6666666666665</v>
          </cell>
          <cell r="AQ45">
            <v>1208.3333333333333</v>
          </cell>
          <cell r="AR45">
            <v>1250</v>
          </cell>
          <cell r="AS45">
            <v>1291.6666666666667</v>
          </cell>
          <cell r="AT45">
            <v>1333.3333333333335</v>
          </cell>
          <cell r="AU45">
            <v>1375.0000000000002</v>
          </cell>
          <cell r="AV45">
            <v>1416.666666666667</v>
          </cell>
          <cell r="AW45">
            <v>1458.3333333333337</v>
          </cell>
          <cell r="AX45">
            <v>1500.0000000000005</v>
          </cell>
          <cell r="AY45">
            <v>1541.6666666666672</v>
          </cell>
          <cell r="AZ45">
            <v>1583.3333333333339</v>
          </cell>
          <cell r="BA45">
            <v>1625.0000000000007</v>
          </cell>
          <cell r="BB45">
            <v>1666.6666666666674</v>
          </cell>
          <cell r="BC45">
            <v>1708.3333333333342</v>
          </cell>
          <cell r="BD45">
            <v>1750.0000000000009</v>
          </cell>
          <cell r="BE45">
            <v>1791.6666666666677</v>
          </cell>
          <cell r="BF45">
            <v>1833.3333333333344</v>
          </cell>
          <cell r="BG45">
            <v>1875.0000000000011</v>
          </cell>
          <cell r="BH45">
            <v>1916.6666666666679</v>
          </cell>
          <cell r="BI45">
            <v>1958.3333333333346</v>
          </cell>
          <cell r="BJ45">
            <v>2000.0000000000014</v>
          </cell>
          <cell r="BK45">
            <v>2041.6666666666681</v>
          </cell>
          <cell r="BL45">
            <v>2083.3333333333348</v>
          </cell>
          <cell r="BM45">
            <v>2125.0000000000014</v>
          </cell>
          <cell r="BN45">
            <v>2166.6666666666679</v>
          </cell>
          <cell r="BO45">
            <v>2208.3333333333344</v>
          </cell>
          <cell r="BP45">
            <v>2250.0000000000009</v>
          </cell>
          <cell r="BQ45">
            <v>2291.6666666666674</v>
          </cell>
          <cell r="BR45">
            <v>2333.3333333333339</v>
          </cell>
          <cell r="BS45">
            <v>2375.0000000000005</v>
          </cell>
          <cell r="BT45">
            <v>2416.666666666667</v>
          </cell>
          <cell r="BU45">
            <v>2458.3333333333335</v>
          </cell>
          <cell r="BV45">
            <v>2500</v>
          </cell>
          <cell r="BW45">
            <v>2541.6666666666665</v>
          </cell>
          <cell r="BX45">
            <v>2583.333333333333</v>
          </cell>
          <cell r="BY45">
            <v>2624.9999999999995</v>
          </cell>
          <cell r="BZ45">
            <v>2666.6666666666661</v>
          </cell>
          <cell r="CA45">
            <v>2708.3333333333326</v>
          </cell>
          <cell r="CB45">
            <v>2749.9999999999991</v>
          </cell>
          <cell r="CC45">
            <v>2791.6666666666656</v>
          </cell>
          <cell r="CD45">
            <v>2833.3333333333321</v>
          </cell>
          <cell r="CE45">
            <v>2874.9999999999986</v>
          </cell>
          <cell r="CF45">
            <v>2916.6666666666652</v>
          </cell>
          <cell r="CG45">
            <v>2958.3333333333317</v>
          </cell>
          <cell r="CH45">
            <v>2999.9999999999982</v>
          </cell>
          <cell r="CI45">
            <v>3041.6666666666647</v>
          </cell>
          <cell r="CJ45">
            <v>3083.3333333333312</v>
          </cell>
          <cell r="CK45">
            <v>3124.9999999999977</v>
          </cell>
          <cell r="CL45">
            <v>3166.6666666666642</v>
          </cell>
          <cell r="CM45">
            <v>3208.3333333333308</v>
          </cell>
          <cell r="CN45">
            <v>3249.9999999999973</v>
          </cell>
          <cell r="CO45">
            <v>3291.6666666666638</v>
          </cell>
          <cell r="CP45">
            <v>3333.3333333333303</v>
          </cell>
          <cell r="CQ45">
            <v>3374.9999999999968</v>
          </cell>
          <cell r="CR45">
            <v>3416.6666666666633</v>
          </cell>
          <cell r="CS45">
            <v>3458.3333333333298</v>
          </cell>
          <cell r="CT45">
            <v>3499.9999999999964</v>
          </cell>
          <cell r="CU45">
            <v>3541.6666666666629</v>
          </cell>
          <cell r="CV45">
            <v>3583.3333333333294</v>
          </cell>
          <cell r="CW45">
            <v>3624.9999999999959</v>
          </cell>
          <cell r="CX45">
            <v>3666.6666666666624</v>
          </cell>
          <cell r="CY45">
            <v>3708.3333333333289</v>
          </cell>
          <cell r="CZ45">
            <v>3749.9999999999955</v>
          </cell>
          <cell r="DA45">
            <v>3791.666666666662</v>
          </cell>
          <cell r="DB45">
            <v>3833.3333333333285</v>
          </cell>
          <cell r="DC45">
            <v>3874.999999999995</v>
          </cell>
          <cell r="DD45">
            <v>3916.6666666666615</v>
          </cell>
          <cell r="DE45">
            <v>3958.333333333328</v>
          </cell>
          <cell r="DF45">
            <v>3999.9999999999945</v>
          </cell>
          <cell r="DG45">
            <v>4041.6666666666611</v>
          </cell>
          <cell r="DH45">
            <v>4083.3333333333276</v>
          </cell>
          <cell r="DI45">
            <v>4124.9999999999945</v>
          </cell>
          <cell r="DJ45">
            <v>4166.6666666666615</v>
          </cell>
          <cell r="DK45">
            <v>4208.3333333333285</v>
          </cell>
          <cell r="DL45">
            <v>4249.9999999999955</v>
          </cell>
          <cell r="DM45">
            <v>4291.6666666666624</v>
          </cell>
          <cell r="DN45">
            <v>4333.3333333333294</v>
          </cell>
          <cell r="DO45">
            <v>4374.9999999999964</v>
          </cell>
          <cell r="DP45">
            <v>4416.6666666666633</v>
          </cell>
          <cell r="DQ45">
            <v>4458.3333333333303</v>
          </cell>
          <cell r="DR45">
            <v>4499.9999999999973</v>
          </cell>
          <cell r="DS45">
            <v>4541.6666666666642</v>
          </cell>
          <cell r="DT45">
            <v>4583.3333333333312</v>
          </cell>
          <cell r="DU45">
            <v>4624.9999999999982</v>
          </cell>
          <cell r="DV45">
            <v>4666.6666666666652</v>
          </cell>
          <cell r="DW45">
            <v>4708.3333333333321</v>
          </cell>
          <cell r="DX45">
            <v>4749.9999999999991</v>
          </cell>
          <cell r="DY45">
            <v>4791.6666666666661</v>
          </cell>
          <cell r="DZ45">
            <v>4833.333333333333</v>
          </cell>
          <cell r="EA45">
            <v>4875</v>
          </cell>
          <cell r="EB45">
            <v>4916.666666666667</v>
          </cell>
          <cell r="EC45">
            <v>4958.3333333333339</v>
          </cell>
          <cell r="ED45">
            <v>5000.0000000000009</v>
          </cell>
          <cell r="EE45">
            <v>5041.6666666666679</v>
          </cell>
          <cell r="EF45">
            <v>5083.3333333333348</v>
          </cell>
          <cell r="EG45">
            <v>5125.0000000000018</v>
          </cell>
          <cell r="EH45">
            <v>5166.6666666666688</v>
          </cell>
          <cell r="EI45">
            <v>5208.3333333333358</v>
          </cell>
          <cell r="EJ45">
            <v>5250.0000000000027</v>
          </cell>
          <cell r="EK45">
            <v>5291.6666666666697</v>
          </cell>
          <cell r="EL45">
            <v>5333.3333333333367</v>
          </cell>
          <cell r="EM45">
            <v>5375.0000000000036</v>
          </cell>
          <cell r="EN45">
            <v>5416.6666666666706</v>
          </cell>
          <cell r="EO45">
            <v>5458.3333333333376</v>
          </cell>
          <cell r="EP45">
            <v>5500.0000000000045</v>
          </cell>
          <cell r="EQ45">
            <v>5541.6666666666715</v>
          </cell>
          <cell r="ER45">
            <v>5583.3333333333385</v>
          </cell>
          <cell r="ES45">
            <v>5625.0000000000055</v>
          </cell>
          <cell r="ET45">
            <v>5666.6666666666724</v>
          </cell>
          <cell r="EU45">
            <v>5708.3333333333394</v>
          </cell>
          <cell r="EV45">
            <v>5750.0000000000064</v>
          </cell>
          <cell r="EW45">
            <v>5791.6666666666733</v>
          </cell>
          <cell r="EX45">
            <v>5833.3333333333403</v>
          </cell>
          <cell r="EY45">
            <v>5875.0000000000073</v>
          </cell>
          <cell r="EZ45">
            <v>5916.6666666666742</v>
          </cell>
          <cell r="FA45">
            <v>5958.3333333333412</v>
          </cell>
          <cell r="FB45">
            <v>6000.0000000000082</v>
          </cell>
          <cell r="FC45">
            <v>6041.6666666666752</v>
          </cell>
          <cell r="FD45">
            <v>6083.3333333333421</v>
          </cell>
          <cell r="FE45">
            <v>6125.0000000000091</v>
          </cell>
          <cell r="FF45">
            <v>6166.6666666666761</v>
          </cell>
          <cell r="FG45">
            <v>6208.333333333343</v>
          </cell>
          <cell r="FH45">
            <v>6250.00000000001</v>
          </cell>
          <cell r="FI45">
            <v>6291.666666666677</v>
          </cell>
          <cell r="FJ45">
            <v>6333.3333333333439</v>
          </cell>
          <cell r="FK45">
            <v>6375.0000000000109</v>
          </cell>
          <cell r="FL45">
            <v>6416.6666666666779</v>
          </cell>
          <cell r="FM45">
            <v>6458.3333333333449</v>
          </cell>
          <cell r="FN45">
            <v>6500.0000000000118</v>
          </cell>
          <cell r="FO45">
            <v>6541.6666666666788</v>
          </cell>
          <cell r="FP45">
            <v>6583.3333333333458</v>
          </cell>
          <cell r="FQ45">
            <v>6625.0000000000127</v>
          </cell>
          <cell r="FR45">
            <v>6666.6666666666797</v>
          </cell>
          <cell r="FS45">
            <v>6708.3333333333467</v>
          </cell>
          <cell r="FT45">
            <v>6750.0000000000136</v>
          </cell>
          <cell r="FU45">
            <v>6791.6666666666806</v>
          </cell>
          <cell r="FV45">
            <v>6833.3333333333476</v>
          </cell>
          <cell r="FW45">
            <v>6875.0000000000146</v>
          </cell>
          <cell r="FX45">
            <v>6916.6666666666815</v>
          </cell>
          <cell r="FY45">
            <v>6958.3333333333485</v>
          </cell>
          <cell r="FZ45">
            <v>7000.0000000000155</v>
          </cell>
          <cell r="GA45">
            <v>7041.6666666666824</v>
          </cell>
          <cell r="GB45">
            <v>7083.3333333333494</v>
          </cell>
          <cell r="GC45">
            <v>7125.0000000000164</v>
          </cell>
          <cell r="GD45">
            <v>7166.6666666666833</v>
          </cell>
          <cell r="GE45">
            <v>7208.3333333333503</v>
          </cell>
          <cell r="GF45">
            <v>7250.0000000000173</v>
          </cell>
          <cell r="GG45">
            <v>7291.6666666666843</v>
          </cell>
          <cell r="GH45">
            <v>7333.3333333333512</v>
          </cell>
          <cell r="GI45">
            <v>7375.0000000000182</v>
          </cell>
          <cell r="GJ45">
            <v>7416.6666666666852</v>
          </cell>
          <cell r="GK45">
            <v>7458.3333333333521</v>
          </cell>
          <cell r="GL45">
            <v>7500.0000000000191</v>
          </cell>
          <cell r="GM45">
            <v>7541.6666666666861</v>
          </cell>
          <cell r="GN45">
            <v>7583.333333333353</v>
          </cell>
          <cell r="GO45">
            <v>7625.00000000002</v>
          </cell>
          <cell r="GP45">
            <v>7666.666666666687</v>
          </cell>
          <cell r="GQ45">
            <v>7708.3333333333539</v>
          </cell>
          <cell r="GR45">
            <v>7750.0000000000209</v>
          </cell>
          <cell r="GS45">
            <v>7791.6666666666879</v>
          </cell>
          <cell r="GT45">
            <v>7833.3333333333549</v>
          </cell>
          <cell r="GU45">
            <v>7875.0000000000218</v>
          </cell>
          <cell r="GV45">
            <v>7916.6666666666888</v>
          </cell>
          <cell r="GW45">
            <v>7958.3333333333558</v>
          </cell>
          <cell r="GX45">
            <v>8000.0000000000227</v>
          </cell>
          <cell r="GY45">
            <v>8041.6666666666897</v>
          </cell>
          <cell r="GZ45">
            <v>8083.3333333333567</v>
          </cell>
          <cell r="HA45">
            <v>8125.0000000000236</v>
          </cell>
          <cell r="HB45">
            <v>8166.6666666666906</v>
          </cell>
          <cell r="HC45">
            <v>8208.3333333333576</v>
          </cell>
          <cell r="HD45">
            <v>8250.0000000000236</v>
          </cell>
          <cell r="HE45">
            <v>8291.6666666666897</v>
          </cell>
          <cell r="HF45">
            <v>8333.3333333333558</v>
          </cell>
        </row>
        <row r="46">
          <cell r="N46">
            <v>0</v>
          </cell>
          <cell r="O46">
            <v>500</v>
          </cell>
          <cell r="P46">
            <v>1000</v>
          </cell>
          <cell r="Q46">
            <v>1500</v>
          </cell>
          <cell r="R46">
            <v>2000</v>
          </cell>
          <cell r="S46">
            <v>2500</v>
          </cell>
          <cell r="T46">
            <v>3000</v>
          </cell>
          <cell r="U46">
            <v>3500</v>
          </cell>
          <cell r="V46">
            <v>4000</v>
          </cell>
          <cell r="W46">
            <v>4500</v>
          </cell>
          <cell r="X46">
            <v>5000</v>
          </cell>
          <cell r="Y46">
            <v>5500</v>
          </cell>
          <cell r="Z46">
            <v>6000</v>
          </cell>
          <cell r="AA46">
            <v>6500</v>
          </cell>
          <cell r="AB46">
            <v>7000</v>
          </cell>
          <cell r="AC46">
            <v>7500</v>
          </cell>
          <cell r="AD46">
            <v>8000</v>
          </cell>
          <cell r="AE46">
            <v>8500</v>
          </cell>
          <cell r="AF46">
            <v>9000</v>
          </cell>
          <cell r="AG46">
            <v>9500</v>
          </cell>
          <cell r="AH46">
            <v>10000</v>
          </cell>
          <cell r="AI46">
            <v>10500</v>
          </cell>
          <cell r="AJ46">
            <v>11000</v>
          </cell>
          <cell r="AK46">
            <v>11500</v>
          </cell>
          <cell r="AL46">
            <v>12000</v>
          </cell>
          <cell r="AM46">
            <v>12500</v>
          </cell>
          <cell r="AN46">
            <v>13000</v>
          </cell>
          <cell r="AO46">
            <v>13500</v>
          </cell>
          <cell r="AP46">
            <v>14000</v>
          </cell>
          <cell r="AQ46">
            <v>14500</v>
          </cell>
          <cell r="AR46">
            <v>15000</v>
          </cell>
          <cell r="AS46">
            <v>15500</v>
          </cell>
          <cell r="AT46">
            <v>16000</v>
          </cell>
          <cell r="AU46">
            <v>16500</v>
          </cell>
          <cell r="AV46">
            <v>17000</v>
          </cell>
          <cell r="AW46">
            <v>17500</v>
          </cell>
          <cell r="AX46">
            <v>18000</v>
          </cell>
          <cell r="AY46">
            <v>18500</v>
          </cell>
          <cell r="AZ46">
            <v>19000</v>
          </cell>
          <cell r="BA46">
            <v>19500</v>
          </cell>
          <cell r="BB46">
            <v>20000</v>
          </cell>
          <cell r="BC46">
            <v>20500</v>
          </cell>
          <cell r="BD46">
            <v>21000</v>
          </cell>
          <cell r="BE46">
            <v>21500</v>
          </cell>
          <cell r="BF46">
            <v>22000</v>
          </cell>
          <cell r="BG46">
            <v>22500</v>
          </cell>
          <cell r="BH46">
            <v>23000</v>
          </cell>
          <cell r="BI46">
            <v>23500</v>
          </cell>
          <cell r="BJ46">
            <v>24000</v>
          </cell>
          <cell r="BK46">
            <v>24500</v>
          </cell>
          <cell r="BL46">
            <v>25000</v>
          </cell>
          <cell r="BM46">
            <v>25500</v>
          </cell>
          <cell r="BN46">
            <v>26000</v>
          </cell>
          <cell r="BO46">
            <v>26500</v>
          </cell>
          <cell r="BP46">
            <v>27000</v>
          </cell>
          <cell r="BQ46">
            <v>27500</v>
          </cell>
          <cell r="BR46">
            <v>28000</v>
          </cell>
          <cell r="BS46">
            <v>28500</v>
          </cell>
          <cell r="BT46">
            <v>29000</v>
          </cell>
          <cell r="BU46">
            <v>29500</v>
          </cell>
          <cell r="BV46">
            <v>30000</v>
          </cell>
          <cell r="BW46">
            <v>30500</v>
          </cell>
          <cell r="BX46">
            <v>31000</v>
          </cell>
          <cell r="BY46">
            <v>31500</v>
          </cell>
          <cell r="BZ46">
            <v>32000</v>
          </cell>
          <cell r="CA46">
            <v>32500</v>
          </cell>
          <cell r="CB46">
            <v>33000</v>
          </cell>
          <cell r="CC46">
            <v>33500</v>
          </cell>
          <cell r="CD46">
            <v>34000</v>
          </cell>
          <cell r="CE46">
            <v>34500</v>
          </cell>
          <cell r="CF46">
            <v>35000</v>
          </cell>
          <cell r="CG46">
            <v>35500</v>
          </cell>
          <cell r="CH46">
            <v>36000</v>
          </cell>
          <cell r="CI46">
            <v>36500</v>
          </cell>
          <cell r="CJ46">
            <v>37000</v>
          </cell>
          <cell r="CK46">
            <v>37500</v>
          </cell>
          <cell r="CL46">
            <v>38000</v>
          </cell>
          <cell r="CM46">
            <v>38500</v>
          </cell>
          <cell r="CN46">
            <v>39000</v>
          </cell>
          <cell r="CO46">
            <v>39500</v>
          </cell>
          <cell r="CP46">
            <v>40000</v>
          </cell>
          <cell r="CQ46">
            <v>40500</v>
          </cell>
          <cell r="CR46">
            <v>41000</v>
          </cell>
          <cell r="CS46">
            <v>41500</v>
          </cell>
          <cell r="CT46">
            <v>42000</v>
          </cell>
          <cell r="CU46">
            <v>42500</v>
          </cell>
          <cell r="CV46">
            <v>43000</v>
          </cell>
          <cell r="CW46">
            <v>43500</v>
          </cell>
          <cell r="CX46">
            <v>44000</v>
          </cell>
          <cell r="CY46">
            <v>44500</v>
          </cell>
          <cell r="CZ46">
            <v>45000</v>
          </cell>
          <cell r="DA46">
            <v>45500</v>
          </cell>
          <cell r="DB46">
            <v>46000</v>
          </cell>
          <cell r="DC46">
            <v>46500</v>
          </cell>
          <cell r="DD46">
            <v>47000</v>
          </cell>
          <cell r="DE46">
            <v>47500</v>
          </cell>
          <cell r="DF46">
            <v>48000</v>
          </cell>
          <cell r="DG46">
            <v>48500</v>
          </cell>
          <cell r="DH46">
            <v>49000</v>
          </cell>
          <cell r="DI46">
            <v>49500</v>
          </cell>
          <cell r="DJ46">
            <v>50000</v>
          </cell>
          <cell r="DK46">
            <v>50500</v>
          </cell>
          <cell r="DL46">
            <v>51000</v>
          </cell>
          <cell r="DM46">
            <v>51500</v>
          </cell>
          <cell r="DN46">
            <v>52000</v>
          </cell>
          <cell r="DO46">
            <v>52500</v>
          </cell>
          <cell r="DP46">
            <v>53000</v>
          </cell>
          <cell r="DQ46">
            <v>53500</v>
          </cell>
          <cell r="DR46">
            <v>54000</v>
          </cell>
          <cell r="DS46">
            <v>54500</v>
          </cell>
          <cell r="DT46">
            <v>55000</v>
          </cell>
          <cell r="DU46">
            <v>55500</v>
          </cell>
          <cell r="DV46">
            <v>56000</v>
          </cell>
          <cell r="DW46">
            <v>56500</v>
          </cell>
          <cell r="DX46">
            <v>57000</v>
          </cell>
          <cell r="DY46">
            <v>57500</v>
          </cell>
          <cell r="DZ46">
            <v>58000</v>
          </cell>
          <cell r="EA46">
            <v>58500</v>
          </cell>
          <cell r="EB46">
            <v>59000</v>
          </cell>
          <cell r="EC46">
            <v>59500</v>
          </cell>
          <cell r="ED46">
            <v>60000</v>
          </cell>
          <cell r="EE46">
            <v>60500</v>
          </cell>
          <cell r="EF46">
            <v>61000</v>
          </cell>
          <cell r="EG46">
            <v>61500</v>
          </cell>
          <cell r="EH46">
            <v>62000</v>
          </cell>
          <cell r="EI46">
            <v>62500</v>
          </cell>
          <cell r="EJ46">
            <v>63000</v>
          </cell>
          <cell r="EK46">
            <v>63500</v>
          </cell>
          <cell r="EL46">
            <v>64000</v>
          </cell>
          <cell r="EM46">
            <v>64500</v>
          </cell>
          <cell r="EN46">
            <v>65000</v>
          </cell>
          <cell r="EO46">
            <v>65500</v>
          </cell>
          <cell r="EP46">
            <v>66000</v>
          </cell>
          <cell r="EQ46">
            <v>66500</v>
          </cell>
          <cell r="ER46">
            <v>67000</v>
          </cell>
          <cell r="ES46">
            <v>67500</v>
          </cell>
          <cell r="ET46">
            <v>68000</v>
          </cell>
          <cell r="EU46">
            <v>68500</v>
          </cell>
          <cell r="EV46">
            <v>69000</v>
          </cell>
          <cell r="EW46">
            <v>69500</v>
          </cell>
          <cell r="EX46">
            <v>70000</v>
          </cell>
          <cell r="EY46">
            <v>70500</v>
          </cell>
          <cell r="EZ46">
            <v>71000</v>
          </cell>
          <cell r="FA46">
            <v>71500</v>
          </cell>
          <cell r="FB46">
            <v>72000</v>
          </cell>
          <cell r="FC46">
            <v>72500</v>
          </cell>
          <cell r="FD46">
            <v>73000</v>
          </cell>
          <cell r="FE46">
            <v>73500</v>
          </cell>
          <cell r="FF46">
            <v>74000</v>
          </cell>
          <cell r="FG46">
            <v>74500</v>
          </cell>
          <cell r="FH46">
            <v>75000</v>
          </cell>
          <cell r="FI46">
            <v>75500</v>
          </cell>
          <cell r="FJ46">
            <v>76000</v>
          </cell>
          <cell r="FK46">
            <v>76500</v>
          </cell>
          <cell r="FL46">
            <v>77000</v>
          </cell>
          <cell r="FM46">
            <v>77500</v>
          </cell>
          <cell r="FN46">
            <v>78000</v>
          </cell>
          <cell r="FO46">
            <v>78500</v>
          </cell>
          <cell r="FP46">
            <v>79000</v>
          </cell>
          <cell r="FQ46">
            <v>79500</v>
          </cell>
          <cell r="FR46">
            <v>80000</v>
          </cell>
          <cell r="FS46">
            <v>80500</v>
          </cell>
          <cell r="FT46">
            <v>81000</v>
          </cell>
          <cell r="FU46">
            <v>81500</v>
          </cell>
          <cell r="FV46">
            <v>82000</v>
          </cell>
          <cell r="FW46">
            <v>82500</v>
          </cell>
          <cell r="FX46">
            <v>83000</v>
          </cell>
          <cell r="FY46">
            <v>83500</v>
          </cell>
          <cell r="FZ46">
            <v>84000</v>
          </cell>
          <cell r="GA46">
            <v>84500</v>
          </cell>
          <cell r="GB46">
            <v>85000</v>
          </cell>
          <cell r="GC46">
            <v>85500</v>
          </cell>
          <cell r="GD46">
            <v>86000</v>
          </cell>
          <cell r="GE46">
            <v>86500</v>
          </cell>
          <cell r="GF46">
            <v>87000</v>
          </cell>
          <cell r="GG46">
            <v>87500</v>
          </cell>
          <cell r="GH46">
            <v>88000</v>
          </cell>
          <cell r="GI46">
            <v>88500</v>
          </cell>
          <cell r="GJ46">
            <v>89000</v>
          </cell>
          <cell r="GK46">
            <v>89500</v>
          </cell>
          <cell r="GL46">
            <v>90000</v>
          </cell>
          <cell r="GM46">
            <v>90500</v>
          </cell>
          <cell r="GN46">
            <v>91000</v>
          </cell>
          <cell r="GO46">
            <v>91500</v>
          </cell>
          <cell r="GP46">
            <v>92000</v>
          </cell>
          <cell r="GQ46">
            <v>92500</v>
          </cell>
          <cell r="GR46">
            <v>93000</v>
          </cell>
          <cell r="GS46">
            <v>93500</v>
          </cell>
          <cell r="GT46">
            <v>94000</v>
          </cell>
          <cell r="GU46">
            <v>94500</v>
          </cell>
          <cell r="GV46">
            <v>95000</v>
          </cell>
          <cell r="GW46">
            <v>95500</v>
          </cell>
          <cell r="GX46">
            <v>96000</v>
          </cell>
          <cell r="GY46">
            <v>96500</v>
          </cell>
          <cell r="GZ46">
            <v>97000</v>
          </cell>
          <cell r="HA46">
            <v>97500</v>
          </cell>
          <cell r="HB46">
            <v>98000</v>
          </cell>
          <cell r="HC46">
            <v>98500</v>
          </cell>
          <cell r="HD46">
            <v>99000</v>
          </cell>
          <cell r="HE46">
            <v>99500</v>
          </cell>
          <cell r="HF46">
            <v>100000</v>
          </cell>
        </row>
        <row r="47">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cell r="EC47">
            <v>0</v>
          </cell>
          <cell r="ED47">
            <v>0</v>
          </cell>
          <cell r="EE47">
            <v>0</v>
          </cell>
          <cell r="EF47">
            <v>0</v>
          </cell>
          <cell r="EG47">
            <v>0</v>
          </cell>
          <cell r="EH47">
            <v>0</v>
          </cell>
          <cell r="EI47">
            <v>0</v>
          </cell>
          <cell r="EJ47">
            <v>0</v>
          </cell>
          <cell r="EK47">
            <v>0</v>
          </cell>
          <cell r="EL47">
            <v>0</v>
          </cell>
          <cell r="EM47">
            <v>0</v>
          </cell>
          <cell r="EN47">
            <v>0</v>
          </cell>
          <cell r="EO47">
            <v>0</v>
          </cell>
          <cell r="EP47">
            <v>0</v>
          </cell>
          <cell r="EQ47">
            <v>0</v>
          </cell>
          <cell r="ER47">
            <v>0</v>
          </cell>
          <cell r="ES47">
            <v>0</v>
          </cell>
          <cell r="ET47">
            <v>0</v>
          </cell>
          <cell r="EU47">
            <v>0</v>
          </cell>
          <cell r="EV47">
            <v>0</v>
          </cell>
          <cell r="EW47">
            <v>0</v>
          </cell>
          <cell r="EX47">
            <v>0</v>
          </cell>
          <cell r="EY47">
            <v>0</v>
          </cell>
          <cell r="EZ47">
            <v>0</v>
          </cell>
          <cell r="FA47">
            <v>0</v>
          </cell>
          <cell r="FB47">
            <v>0</v>
          </cell>
          <cell r="FC47">
            <v>0</v>
          </cell>
          <cell r="FD47">
            <v>0</v>
          </cell>
          <cell r="FE47">
            <v>0</v>
          </cell>
          <cell r="FF47">
            <v>0</v>
          </cell>
          <cell r="FG47">
            <v>0</v>
          </cell>
          <cell r="FH47">
            <v>0</v>
          </cell>
          <cell r="FI47">
            <v>0</v>
          </cell>
          <cell r="FJ47">
            <v>0</v>
          </cell>
          <cell r="FK47">
            <v>0</v>
          </cell>
          <cell r="FL47">
            <v>0</v>
          </cell>
          <cell r="FM47">
            <v>0</v>
          </cell>
          <cell r="FN47">
            <v>0</v>
          </cell>
          <cell r="FO47">
            <v>0</v>
          </cell>
          <cell r="FP47">
            <v>0</v>
          </cell>
          <cell r="FQ47">
            <v>0</v>
          </cell>
          <cell r="FR47">
            <v>0</v>
          </cell>
          <cell r="FS47">
            <v>0</v>
          </cell>
          <cell r="FT47">
            <v>0</v>
          </cell>
          <cell r="FU47">
            <v>0</v>
          </cell>
          <cell r="FV47">
            <v>0</v>
          </cell>
          <cell r="FW47">
            <v>0</v>
          </cell>
          <cell r="FX47">
            <v>0</v>
          </cell>
          <cell r="FY47">
            <v>0</v>
          </cell>
          <cell r="FZ47">
            <v>0</v>
          </cell>
          <cell r="GA47">
            <v>0</v>
          </cell>
          <cell r="GB47">
            <v>0</v>
          </cell>
          <cell r="GC47">
            <v>0</v>
          </cell>
          <cell r="GD47">
            <v>0</v>
          </cell>
          <cell r="GE47">
            <v>0</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0</v>
          </cell>
          <cell r="GW47">
            <v>0</v>
          </cell>
          <cell r="GX47">
            <v>0</v>
          </cell>
          <cell r="GY47">
            <v>0</v>
          </cell>
          <cell r="GZ47">
            <v>0</v>
          </cell>
          <cell r="HA47">
            <v>0</v>
          </cell>
          <cell r="HB47">
            <v>0</v>
          </cell>
          <cell r="HC47">
            <v>0</v>
          </cell>
          <cell r="HD47">
            <v>0</v>
          </cell>
          <cell r="HE47">
            <v>0</v>
          </cell>
          <cell r="HF47">
            <v>0</v>
          </cell>
        </row>
        <row r="48">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cell r="EP48">
            <v>0</v>
          </cell>
          <cell r="EQ48">
            <v>0</v>
          </cell>
          <cell r="ER48">
            <v>0</v>
          </cell>
          <cell r="ES48">
            <v>0</v>
          </cell>
          <cell r="ET48">
            <v>0</v>
          </cell>
          <cell r="EU48">
            <v>0</v>
          </cell>
          <cell r="EV48">
            <v>0</v>
          </cell>
          <cell r="EW48">
            <v>0</v>
          </cell>
          <cell r="EX48">
            <v>0</v>
          </cell>
          <cell r="EY48">
            <v>0</v>
          </cell>
          <cell r="EZ48">
            <v>0</v>
          </cell>
          <cell r="FA48">
            <v>0</v>
          </cell>
          <cell r="FB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cell r="GY48">
            <v>0</v>
          </cell>
          <cell r="GZ48">
            <v>0</v>
          </cell>
          <cell r="HA48">
            <v>0</v>
          </cell>
          <cell r="HB48">
            <v>0</v>
          </cell>
          <cell r="HC48">
            <v>0</v>
          </cell>
          <cell r="HD48">
            <v>0</v>
          </cell>
          <cell r="HE48">
            <v>0</v>
          </cell>
          <cell r="HF48">
            <v>0</v>
          </cell>
        </row>
        <row r="49">
          <cell r="N49">
            <v>0</v>
          </cell>
          <cell r="O49">
            <v>41.666666666666664</v>
          </cell>
          <cell r="P49">
            <v>83.333333333333329</v>
          </cell>
          <cell r="Q49">
            <v>125</v>
          </cell>
          <cell r="R49">
            <v>166.66666666666666</v>
          </cell>
          <cell r="S49">
            <v>208.33333333333331</v>
          </cell>
          <cell r="T49">
            <v>249.99999999999997</v>
          </cell>
          <cell r="U49">
            <v>291.66666666666663</v>
          </cell>
          <cell r="V49">
            <v>333.33333333333331</v>
          </cell>
          <cell r="W49">
            <v>375</v>
          </cell>
          <cell r="X49">
            <v>416.66666666666669</v>
          </cell>
          <cell r="Y49">
            <v>458.33333333333337</v>
          </cell>
          <cell r="Z49">
            <v>500.00000000000006</v>
          </cell>
          <cell r="AA49">
            <v>541.66666666666674</v>
          </cell>
          <cell r="AB49">
            <v>583.33333333333337</v>
          </cell>
          <cell r="AC49">
            <v>625</v>
          </cell>
          <cell r="AD49">
            <v>666.66666666666663</v>
          </cell>
          <cell r="AE49">
            <v>708.33333333333326</v>
          </cell>
          <cell r="AF49">
            <v>749.99999999999989</v>
          </cell>
          <cell r="AG49">
            <v>791.66666666666652</v>
          </cell>
          <cell r="AH49">
            <v>833.33333333333314</v>
          </cell>
          <cell r="AI49">
            <v>874.99999999999977</v>
          </cell>
          <cell r="AJ49">
            <v>916.6666666666664</v>
          </cell>
          <cell r="AK49">
            <v>958.33333333333303</v>
          </cell>
          <cell r="AL49">
            <v>999.99999999999966</v>
          </cell>
          <cell r="AM49">
            <v>1041.6666666666663</v>
          </cell>
          <cell r="AN49">
            <v>1083.333333333333</v>
          </cell>
          <cell r="AO49">
            <v>1124.9999999999998</v>
          </cell>
          <cell r="AP49">
            <v>1166.6666666666665</v>
          </cell>
          <cell r="AQ49">
            <v>1208.3333333333333</v>
          </cell>
          <cell r="AR49">
            <v>1250</v>
          </cell>
          <cell r="AS49">
            <v>1291.6666666666667</v>
          </cell>
          <cell r="AT49">
            <v>1333.3333333333335</v>
          </cell>
          <cell r="AU49">
            <v>1375.0000000000002</v>
          </cell>
          <cell r="AV49">
            <v>1416.666666666667</v>
          </cell>
          <cell r="AW49">
            <v>1458.3333333333337</v>
          </cell>
          <cell r="AX49">
            <v>1500.0000000000005</v>
          </cell>
          <cell r="AY49">
            <v>1541.6666666666672</v>
          </cell>
          <cell r="AZ49">
            <v>1583.3333333333339</v>
          </cell>
          <cell r="BA49">
            <v>1625.0000000000007</v>
          </cell>
          <cell r="BB49">
            <v>1666.6666666666674</v>
          </cell>
          <cell r="BC49">
            <v>1708.3333333333342</v>
          </cell>
          <cell r="BD49">
            <v>1750.0000000000009</v>
          </cell>
          <cell r="BE49">
            <v>1791.6666666666677</v>
          </cell>
          <cell r="BF49">
            <v>1833.3333333333344</v>
          </cell>
          <cell r="BG49">
            <v>1875.0000000000011</v>
          </cell>
          <cell r="BH49">
            <v>1916.6666666666679</v>
          </cell>
          <cell r="BI49">
            <v>1958.3333333333346</v>
          </cell>
          <cell r="BJ49">
            <v>2000.0000000000014</v>
          </cell>
          <cell r="BK49">
            <v>2041.6666666666681</v>
          </cell>
          <cell r="BL49">
            <v>2083.3333333333348</v>
          </cell>
          <cell r="BM49">
            <v>2125.0000000000014</v>
          </cell>
          <cell r="BN49">
            <v>2166.6666666666679</v>
          </cell>
          <cell r="BO49">
            <v>2208.3333333333344</v>
          </cell>
          <cell r="BP49">
            <v>2250.0000000000009</v>
          </cell>
          <cell r="BQ49">
            <v>2291.6666666666674</v>
          </cell>
          <cell r="BR49">
            <v>2333.3333333333339</v>
          </cell>
          <cell r="BS49">
            <v>2375.0000000000005</v>
          </cell>
          <cell r="BT49">
            <v>2416.666666666667</v>
          </cell>
          <cell r="BU49">
            <v>2458.3333333333335</v>
          </cell>
          <cell r="BV49">
            <v>2500</v>
          </cell>
          <cell r="BW49">
            <v>2541.6666666666665</v>
          </cell>
          <cell r="BX49">
            <v>2583.333333333333</v>
          </cell>
          <cell r="BY49">
            <v>2624.9999999999995</v>
          </cell>
          <cell r="BZ49">
            <v>2666.6666666666661</v>
          </cell>
          <cell r="CA49">
            <v>2708.3333333333326</v>
          </cell>
          <cell r="CB49">
            <v>2749.9999999999991</v>
          </cell>
          <cell r="CC49">
            <v>2791.6666666666656</v>
          </cell>
          <cell r="CD49">
            <v>2833.3333333333321</v>
          </cell>
          <cell r="CE49">
            <v>2874.9999999999986</v>
          </cell>
          <cell r="CF49">
            <v>2916.6666666666652</v>
          </cell>
          <cell r="CG49">
            <v>2958.3333333333317</v>
          </cell>
          <cell r="CH49">
            <v>2999.9999999999982</v>
          </cell>
          <cell r="CI49">
            <v>3041.6666666666647</v>
          </cell>
          <cell r="CJ49">
            <v>3083.3333333333312</v>
          </cell>
          <cell r="CK49">
            <v>3124.9999999999977</v>
          </cell>
          <cell r="CL49">
            <v>3166.6666666666642</v>
          </cell>
          <cell r="CM49">
            <v>3208.3333333333308</v>
          </cell>
          <cell r="CN49">
            <v>3249.9999999999973</v>
          </cell>
          <cell r="CO49">
            <v>3291.6666666666638</v>
          </cell>
          <cell r="CP49">
            <v>3333.3333333333303</v>
          </cell>
          <cell r="CQ49">
            <v>3374.9999999999968</v>
          </cell>
          <cell r="CR49">
            <v>3416.6666666666633</v>
          </cell>
          <cell r="CS49">
            <v>3458.3333333333298</v>
          </cell>
          <cell r="CT49">
            <v>3499.9999999999964</v>
          </cell>
          <cell r="CU49">
            <v>3541.6666666666629</v>
          </cell>
          <cell r="CV49">
            <v>3583.3333333333294</v>
          </cell>
          <cell r="CW49">
            <v>3624.9999999999959</v>
          </cell>
          <cell r="CX49">
            <v>3666.6666666666624</v>
          </cell>
          <cell r="CY49">
            <v>3708.3333333333289</v>
          </cell>
          <cell r="CZ49">
            <v>3749.9999999999955</v>
          </cell>
          <cell r="DA49">
            <v>3791.666666666662</v>
          </cell>
          <cell r="DB49">
            <v>3833.3333333333285</v>
          </cell>
          <cell r="DC49">
            <v>3874.999999999995</v>
          </cell>
          <cell r="DD49">
            <v>3916.6666666666615</v>
          </cell>
          <cell r="DE49">
            <v>3958.333333333328</v>
          </cell>
          <cell r="DF49">
            <v>3999.9999999999945</v>
          </cell>
          <cell r="DG49">
            <v>4041.6666666666611</v>
          </cell>
          <cell r="DH49">
            <v>4083.3333333333276</v>
          </cell>
          <cell r="DI49">
            <v>4124.9999999999945</v>
          </cell>
          <cell r="DJ49">
            <v>4166.6666666666615</v>
          </cell>
          <cell r="DK49">
            <v>4208.3333333333285</v>
          </cell>
          <cell r="DL49">
            <v>4249.9999999999955</v>
          </cell>
          <cell r="DM49">
            <v>4291.6666666666624</v>
          </cell>
          <cell r="DN49">
            <v>4333.3333333333294</v>
          </cell>
          <cell r="DO49">
            <v>4374.9999999999964</v>
          </cell>
          <cell r="DP49">
            <v>4416.6666666666633</v>
          </cell>
          <cell r="DQ49">
            <v>4458.3333333333303</v>
          </cell>
          <cell r="DR49">
            <v>4499.9999999999973</v>
          </cell>
          <cell r="DS49">
            <v>4541.6666666666642</v>
          </cell>
          <cell r="DT49">
            <v>4583.3333333333312</v>
          </cell>
          <cell r="DU49">
            <v>4624.9999999999982</v>
          </cell>
          <cell r="DV49">
            <v>4666.6666666666652</v>
          </cell>
          <cell r="DW49">
            <v>4708.3333333333321</v>
          </cell>
          <cell r="DX49">
            <v>4749.9999999999991</v>
          </cell>
          <cell r="DY49">
            <v>4791.6666666666661</v>
          </cell>
          <cell r="DZ49">
            <v>4833.333333333333</v>
          </cell>
          <cell r="EA49">
            <v>4875</v>
          </cell>
          <cell r="EB49">
            <v>4916.666666666667</v>
          </cell>
          <cell r="EC49">
            <v>4958.3333333333339</v>
          </cell>
          <cell r="ED49">
            <v>5000.0000000000009</v>
          </cell>
          <cell r="EE49">
            <v>5041.6666666666679</v>
          </cell>
          <cell r="EF49">
            <v>5083.3333333333348</v>
          </cell>
          <cell r="EG49">
            <v>5125.0000000000018</v>
          </cell>
          <cell r="EH49">
            <v>5166.6666666666688</v>
          </cell>
          <cell r="EI49">
            <v>5208.3333333333358</v>
          </cell>
          <cell r="EJ49">
            <v>5250.0000000000027</v>
          </cell>
          <cell r="EK49">
            <v>5291.6666666666697</v>
          </cell>
          <cell r="EL49">
            <v>5333.3333333333367</v>
          </cell>
          <cell r="EM49">
            <v>5375.0000000000036</v>
          </cell>
          <cell r="EN49">
            <v>5416.6666666666706</v>
          </cell>
          <cell r="EO49">
            <v>5458.3333333333376</v>
          </cell>
          <cell r="EP49">
            <v>5500.0000000000045</v>
          </cell>
          <cell r="EQ49">
            <v>5541.6666666666715</v>
          </cell>
          <cell r="ER49">
            <v>5583.3333333333385</v>
          </cell>
          <cell r="ES49">
            <v>5625.0000000000055</v>
          </cell>
          <cell r="ET49">
            <v>5666.6666666666724</v>
          </cell>
          <cell r="EU49">
            <v>5708.3333333333394</v>
          </cell>
          <cell r="EV49">
            <v>5750.0000000000064</v>
          </cell>
          <cell r="EW49">
            <v>5791.6666666666733</v>
          </cell>
          <cell r="EX49">
            <v>5833.3333333333403</v>
          </cell>
          <cell r="EY49">
            <v>5875.0000000000073</v>
          </cell>
          <cell r="EZ49">
            <v>5916.6666666666742</v>
          </cell>
          <cell r="FA49">
            <v>5958.3333333333412</v>
          </cell>
          <cell r="FB49">
            <v>6000.0000000000082</v>
          </cell>
          <cell r="FC49">
            <v>6041.6666666666752</v>
          </cell>
          <cell r="FD49">
            <v>6083.3333333333421</v>
          </cell>
          <cell r="FE49">
            <v>6125.0000000000091</v>
          </cell>
          <cell r="FF49">
            <v>6166.6666666666761</v>
          </cell>
          <cell r="FG49">
            <v>6208.333333333343</v>
          </cell>
          <cell r="FH49">
            <v>6250.00000000001</v>
          </cell>
          <cell r="FI49">
            <v>6291.666666666677</v>
          </cell>
          <cell r="FJ49">
            <v>6333.3333333333439</v>
          </cell>
          <cell r="FK49">
            <v>6375.0000000000109</v>
          </cell>
          <cell r="FL49">
            <v>6416.6666666666779</v>
          </cell>
          <cell r="FM49">
            <v>6458.3333333333449</v>
          </cell>
          <cell r="FN49">
            <v>6500.0000000000118</v>
          </cell>
          <cell r="FO49">
            <v>6541.6666666666788</v>
          </cell>
          <cell r="FP49">
            <v>6583.3333333333458</v>
          </cell>
          <cell r="FQ49">
            <v>6625.0000000000127</v>
          </cell>
          <cell r="FR49">
            <v>6666.6666666666797</v>
          </cell>
          <cell r="FS49">
            <v>6708.3333333333467</v>
          </cell>
          <cell r="FT49">
            <v>6750.0000000000136</v>
          </cell>
          <cell r="FU49">
            <v>6791.6666666666806</v>
          </cell>
          <cell r="FV49">
            <v>6833.3333333333476</v>
          </cell>
          <cell r="FW49">
            <v>6875.0000000000146</v>
          </cell>
          <cell r="FX49">
            <v>6916.6666666666815</v>
          </cell>
          <cell r="FY49">
            <v>6958.3333333333485</v>
          </cell>
          <cell r="FZ49">
            <v>7000.0000000000155</v>
          </cell>
          <cell r="GA49">
            <v>7041.6666666666824</v>
          </cell>
          <cell r="GB49">
            <v>7083.3333333333494</v>
          </cell>
          <cell r="GC49">
            <v>7125.0000000000164</v>
          </cell>
          <cell r="GD49">
            <v>7166.6666666666833</v>
          </cell>
          <cell r="GE49">
            <v>7208.3333333333503</v>
          </cell>
          <cell r="GF49">
            <v>7250.0000000000173</v>
          </cell>
          <cell r="GG49">
            <v>7291.6666666666843</v>
          </cell>
          <cell r="GH49">
            <v>7333.3333333333512</v>
          </cell>
          <cell r="GI49">
            <v>7375.0000000000182</v>
          </cell>
          <cell r="GJ49">
            <v>7416.6666666666852</v>
          </cell>
          <cell r="GK49">
            <v>7458.3333333333521</v>
          </cell>
          <cell r="GL49">
            <v>7500.0000000000191</v>
          </cell>
          <cell r="GM49">
            <v>7541.6666666666861</v>
          </cell>
          <cell r="GN49">
            <v>7583.333333333353</v>
          </cell>
          <cell r="GO49">
            <v>7625.00000000002</v>
          </cell>
          <cell r="GP49">
            <v>7666.666666666687</v>
          </cell>
          <cell r="GQ49">
            <v>7708.3333333333539</v>
          </cell>
          <cell r="GR49">
            <v>7750.0000000000209</v>
          </cell>
          <cell r="GS49">
            <v>7791.6666666666879</v>
          </cell>
          <cell r="GT49">
            <v>7833.3333333333549</v>
          </cell>
          <cell r="GU49">
            <v>7875.0000000000218</v>
          </cell>
          <cell r="GV49">
            <v>7916.6666666666888</v>
          </cell>
          <cell r="GW49">
            <v>7958.3333333333558</v>
          </cell>
          <cell r="GX49">
            <v>8000.0000000000227</v>
          </cell>
          <cell r="GY49">
            <v>8041.6666666666897</v>
          </cell>
          <cell r="GZ49">
            <v>8083.3333333333567</v>
          </cell>
          <cell r="HA49">
            <v>8125.0000000000236</v>
          </cell>
          <cell r="HB49">
            <v>8166.6666666666906</v>
          </cell>
          <cell r="HC49">
            <v>8208.3333333333576</v>
          </cell>
          <cell r="HD49">
            <v>8250.0000000000236</v>
          </cell>
          <cell r="HE49">
            <v>8291.6666666666897</v>
          </cell>
          <cell r="HF49">
            <v>8333.3333333333558</v>
          </cell>
        </row>
        <row r="50">
          <cell r="N50">
            <v>0</v>
          </cell>
          <cell r="O50">
            <v>500</v>
          </cell>
          <cell r="P50">
            <v>1000</v>
          </cell>
          <cell r="Q50">
            <v>1500</v>
          </cell>
          <cell r="R50">
            <v>2000</v>
          </cell>
          <cell r="S50">
            <v>2500</v>
          </cell>
          <cell r="T50">
            <v>3000</v>
          </cell>
          <cell r="U50">
            <v>3500</v>
          </cell>
          <cell r="V50">
            <v>4000</v>
          </cell>
          <cell r="W50">
            <v>4500</v>
          </cell>
          <cell r="X50">
            <v>5000</v>
          </cell>
          <cell r="Y50">
            <v>5500</v>
          </cell>
          <cell r="Z50">
            <v>6000</v>
          </cell>
          <cell r="AA50">
            <v>6500</v>
          </cell>
          <cell r="AB50">
            <v>7000</v>
          </cell>
          <cell r="AC50">
            <v>7500</v>
          </cell>
          <cell r="AD50">
            <v>8000</v>
          </cell>
          <cell r="AE50">
            <v>8500</v>
          </cell>
          <cell r="AF50">
            <v>9000</v>
          </cell>
          <cell r="AG50">
            <v>9500</v>
          </cell>
          <cell r="AH50">
            <v>10000</v>
          </cell>
          <cell r="AI50">
            <v>10500</v>
          </cell>
          <cell r="AJ50">
            <v>11000</v>
          </cell>
          <cell r="AK50">
            <v>11500</v>
          </cell>
          <cell r="AL50">
            <v>12000</v>
          </cell>
          <cell r="AM50">
            <v>12500</v>
          </cell>
          <cell r="AN50">
            <v>13000</v>
          </cell>
          <cell r="AO50">
            <v>13500</v>
          </cell>
          <cell r="AP50">
            <v>14000</v>
          </cell>
          <cell r="AQ50">
            <v>14500</v>
          </cell>
          <cell r="AR50">
            <v>15000</v>
          </cell>
          <cell r="AS50">
            <v>15500</v>
          </cell>
          <cell r="AT50">
            <v>16000</v>
          </cell>
          <cell r="AU50">
            <v>16500</v>
          </cell>
          <cell r="AV50">
            <v>17000</v>
          </cell>
          <cell r="AW50">
            <v>17500</v>
          </cell>
          <cell r="AX50">
            <v>18000</v>
          </cell>
          <cell r="AY50">
            <v>18500</v>
          </cell>
          <cell r="AZ50">
            <v>19000</v>
          </cell>
          <cell r="BA50">
            <v>19500</v>
          </cell>
          <cell r="BB50">
            <v>20000</v>
          </cell>
          <cell r="BC50">
            <v>20500</v>
          </cell>
          <cell r="BD50">
            <v>21000</v>
          </cell>
          <cell r="BE50">
            <v>21500</v>
          </cell>
          <cell r="BF50">
            <v>22000</v>
          </cell>
          <cell r="BG50">
            <v>22500</v>
          </cell>
          <cell r="BH50">
            <v>23000</v>
          </cell>
          <cell r="BI50">
            <v>23500</v>
          </cell>
          <cell r="BJ50">
            <v>24000</v>
          </cell>
          <cell r="BK50">
            <v>24500</v>
          </cell>
          <cell r="BL50">
            <v>25000</v>
          </cell>
          <cell r="BM50">
            <v>25500</v>
          </cell>
          <cell r="BN50">
            <v>26000</v>
          </cell>
          <cell r="BO50">
            <v>26500</v>
          </cell>
          <cell r="BP50">
            <v>27000</v>
          </cell>
          <cell r="BQ50">
            <v>27500</v>
          </cell>
          <cell r="BR50">
            <v>28000</v>
          </cell>
          <cell r="BS50">
            <v>28500</v>
          </cell>
          <cell r="BT50">
            <v>29000</v>
          </cell>
          <cell r="BU50">
            <v>29500</v>
          </cell>
          <cell r="BV50">
            <v>30000</v>
          </cell>
          <cell r="BW50">
            <v>30500</v>
          </cell>
          <cell r="BX50">
            <v>31000</v>
          </cell>
          <cell r="BY50">
            <v>31500</v>
          </cell>
          <cell r="BZ50">
            <v>32000</v>
          </cell>
          <cell r="CA50">
            <v>32500</v>
          </cell>
          <cell r="CB50">
            <v>33000</v>
          </cell>
          <cell r="CC50">
            <v>33500</v>
          </cell>
          <cell r="CD50">
            <v>34000</v>
          </cell>
          <cell r="CE50">
            <v>34500</v>
          </cell>
          <cell r="CF50">
            <v>35000</v>
          </cell>
          <cell r="CG50">
            <v>35500</v>
          </cell>
          <cell r="CH50">
            <v>36000</v>
          </cell>
          <cell r="CI50">
            <v>36500</v>
          </cell>
          <cell r="CJ50">
            <v>37000</v>
          </cell>
          <cell r="CK50">
            <v>37500</v>
          </cell>
          <cell r="CL50">
            <v>38000</v>
          </cell>
          <cell r="CM50">
            <v>38500</v>
          </cell>
          <cell r="CN50">
            <v>39000</v>
          </cell>
          <cell r="CO50">
            <v>39500</v>
          </cell>
          <cell r="CP50">
            <v>40000</v>
          </cell>
          <cell r="CQ50">
            <v>40500</v>
          </cell>
          <cell r="CR50">
            <v>41000</v>
          </cell>
          <cell r="CS50">
            <v>41500</v>
          </cell>
          <cell r="CT50">
            <v>42000</v>
          </cell>
          <cell r="CU50">
            <v>42500</v>
          </cell>
          <cell r="CV50">
            <v>43000</v>
          </cell>
          <cell r="CW50">
            <v>43500</v>
          </cell>
          <cell r="CX50">
            <v>44000</v>
          </cell>
          <cell r="CY50">
            <v>44500</v>
          </cell>
          <cell r="CZ50">
            <v>45000</v>
          </cell>
          <cell r="DA50">
            <v>45500</v>
          </cell>
          <cell r="DB50">
            <v>46000</v>
          </cell>
          <cell r="DC50">
            <v>46500</v>
          </cell>
          <cell r="DD50">
            <v>47000</v>
          </cell>
          <cell r="DE50">
            <v>47500</v>
          </cell>
          <cell r="DF50">
            <v>48000</v>
          </cell>
          <cell r="DG50">
            <v>48500</v>
          </cell>
          <cell r="DH50">
            <v>49000</v>
          </cell>
          <cell r="DI50">
            <v>49500</v>
          </cell>
          <cell r="DJ50">
            <v>50000</v>
          </cell>
          <cell r="DK50">
            <v>50500</v>
          </cell>
          <cell r="DL50">
            <v>51000</v>
          </cell>
          <cell r="DM50">
            <v>51500</v>
          </cell>
          <cell r="DN50">
            <v>52000</v>
          </cell>
          <cell r="DO50">
            <v>52500</v>
          </cell>
          <cell r="DP50">
            <v>53000</v>
          </cell>
          <cell r="DQ50">
            <v>53500</v>
          </cell>
          <cell r="DR50">
            <v>54000</v>
          </cell>
          <cell r="DS50">
            <v>54500</v>
          </cell>
          <cell r="DT50">
            <v>55000</v>
          </cell>
          <cell r="DU50">
            <v>55500</v>
          </cell>
          <cell r="DV50">
            <v>56000</v>
          </cell>
          <cell r="DW50">
            <v>56500</v>
          </cell>
          <cell r="DX50">
            <v>57000</v>
          </cell>
          <cell r="DY50">
            <v>57500</v>
          </cell>
          <cell r="DZ50">
            <v>58000</v>
          </cell>
          <cell r="EA50">
            <v>58500</v>
          </cell>
          <cell r="EB50">
            <v>59000</v>
          </cell>
          <cell r="EC50">
            <v>59500</v>
          </cell>
          <cell r="ED50">
            <v>60000</v>
          </cell>
          <cell r="EE50">
            <v>60500</v>
          </cell>
          <cell r="EF50">
            <v>61000</v>
          </cell>
          <cell r="EG50">
            <v>61500</v>
          </cell>
          <cell r="EH50">
            <v>62000</v>
          </cell>
          <cell r="EI50">
            <v>62500</v>
          </cell>
          <cell r="EJ50">
            <v>63000</v>
          </cell>
          <cell r="EK50">
            <v>63500</v>
          </cell>
          <cell r="EL50">
            <v>64000</v>
          </cell>
          <cell r="EM50">
            <v>64500</v>
          </cell>
          <cell r="EN50">
            <v>65000</v>
          </cell>
          <cell r="EO50">
            <v>65500</v>
          </cell>
          <cell r="EP50">
            <v>66000</v>
          </cell>
          <cell r="EQ50">
            <v>66500</v>
          </cell>
          <cell r="ER50">
            <v>67000</v>
          </cell>
          <cell r="ES50">
            <v>67500</v>
          </cell>
          <cell r="ET50">
            <v>68000</v>
          </cell>
          <cell r="EU50">
            <v>68500</v>
          </cell>
          <cell r="EV50">
            <v>69000</v>
          </cell>
          <cell r="EW50">
            <v>69500</v>
          </cell>
          <cell r="EX50">
            <v>70000</v>
          </cell>
          <cell r="EY50">
            <v>70500</v>
          </cell>
          <cell r="EZ50">
            <v>71000</v>
          </cell>
          <cell r="FA50">
            <v>71500</v>
          </cell>
          <cell r="FB50">
            <v>72000</v>
          </cell>
          <cell r="FC50">
            <v>72500</v>
          </cell>
          <cell r="FD50">
            <v>73000</v>
          </cell>
          <cell r="FE50">
            <v>73500</v>
          </cell>
          <cell r="FF50">
            <v>74000</v>
          </cell>
          <cell r="FG50">
            <v>74500</v>
          </cell>
          <cell r="FH50">
            <v>75000</v>
          </cell>
          <cell r="FI50">
            <v>75500</v>
          </cell>
          <cell r="FJ50">
            <v>76000</v>
          </cell>
          <cell r="FK50">
            <v>76500</v>
          </cell>
          <cell r="FL50">
            <v>77000</v>
          </cell>
          <cell r="FM50">
            <v>77500</v>
          </cell>
          <cell r="FN50">
            <v>78000</v>
          </cell>
          <cell r="FO50">
            <v>78500</v>
          </cell>
          <cell r="FP50">
            <v>79000</v>
          </cell>
          <cell r="FQ50">
            <v>79500</v>
          </cell>
          <cell r="FR50">
            <v>80000</v>
          </cell>
          <cell r="FS50">
            <v>80500</v>
          </cell>
          <cell r="FT50">
            <v>81000</v>
          </cell>
          <cell r="FU50">
            <v>81500</v>
          </cell>
          <cell r="FV50">
            <v>82000</v>
          </cell>
          <cell r="FW50">
            <v>82500</v>
          </cell>
          <cell r="FX50">
            <v>83000</v>
          </cell>
          <cell r="FY50">
            <v>83500</v>
          </cell>
          <cell r="FZ50">
            <v>84000</v>
          </cell>
          <cell r="GA50">
            <v>84500</v>
          </cell>
          <cell r="GB50">
            <v>85000</v>
          </cell>
          <cell r="GC50">
            <v>85500</v>
          </cell>
          <cell r="GD50">
            <v>86000</v>
          </cell>
          <cell r="GE50">
            <v>86500</v>
          </cell>
          <cell r="GF50">
            <v>87000</v>
          </cell>
          <cell r="GG50">
            <v>87500</v>
          </cell>
          <cell r="GH50">
            <v>88000</v>
          </cell>
          <cell r="GI50">
            <v>88500</v>
          </cell>
          <cell r="GJ50">
            <v>89000</v>
          </cell>
          <cell r="GK50">
            <v>89500</v>
          </cell>
          <cell r="GL50">
            <v>90000</v>
          </cell>
          <cell r="GM50">
            <v>90500</v>
          </cell>
          <cell r="GN50">
            <v>91000</v>
          </cell>
          <cell r="GO50">
            <v>91500</v>
          </cell>
          <cell r="GP50">
            <v>92000</v>
          </cell>
          <cell r="GQ50">
            <v>92500</v>
          </cell>
          <cell r="GR50">
            <v>93000</v>
          </cell>
          <cell r="GS50">
            <v>93500</v>
          </cell>
          <cell r="GT50">
            <v>94000</v>
          </cell>
          <cell r="GU50">
            <v>94500</v>
          </cell>
          <cell r="GV50">
            <v>95000</v>
          </cell>
          <cell r="GW50">
            <v>95500</v>
          </cell>
          <cell r="GX50">
            <v>96000</v>
          </cell>
          <cell r="GY50">
            <v>96500</v>
          </cell>
          <cell r="GZ50">
            <v>97000</v>
          </cell>
          <cell r="HA50">
            <v>97500</v>
          </cell>
          <cell r="HB50">
            <v>98000</v>
          </cell>
          <cell r="HC50">
            <v>98500</v>
          </cell>
          <cell r="HD50">
            <v>99000</v>
          </cell>
          <cell r="HE50">
            <v>99500</v>
          </cell>
          <cell r="HF50">
            <v>100000</v>
          </cell>
        </row>
        <row r="54">
          <cell r="N54">
            <v>0</v>
          </cell>
          <cell r="O54">
            <v>38</v>
          </cell>
          <cell r="P54">
            <v>77</v>
          </cell>
          <cell r="Q54">
            <v>115</v>
          </cell>
          <cell r="R54">
            <v>153</v>
          </cell>
          <cell r="S54">
            <v>191</v>
          </cell>
          <cell r="T54">
            <v>230</v>
          </cell>
          <cell r="U54">
            <v>268</v>
          </cell>
          <cell r="V54">
            <v>306</v>
          </cell>
          <cell r="W54">
            <v>344</v>
          </cell>
          <cell r="X54">
            <v>383</v>
          </cell>
          <cell r="Y54">
            <v>421</v>
          </cell>
          <cell r="Z54">
            <v>459</v>
          </cell>
          <cell r="AA54">
            <v>497</v>
          </cell>
          <cell r="AB54">
            <v>536</v>
          </cell>
          <cell r="AC54">
            <v>574</v>
          </cell>
          <cell r="AD54">
            <v>612</v>
          </cell>
          <cell r="AE54">
            <v>650</v>
          </cell>
          <cell r="AF54">
            <v>689</v>
          </cell>
          <cell r="AG54">
            <v>727</v>
          </cell>
          <cell r="AH54">
            <v>765</v>
          </cell>
          <cell r="AI54">
            <v>803</v>
          </cell>
          <cell r="AJ54">
            <v>842</v>
          </cell>
          <cell r="AK54">
            <v>880</v>
          </cell>
          <cell r="AL54">
            <v>918</v>
          </cell>
          <cell r="AM54">
            <v>956</v>
          </cell>
          <cell r="AN54">
            <v>995</v>
          </cell>
          <cell r="AO54">
            <v>1033</v>
          </cell>
          <cell r="AP54">
            <v>1071</v>
          </cell>
          <cell r="AQ54">
            <v>1109</v>
          </cell>
          <cell r="AR54">
            <v>1148</v>
          </cell>
          <cell r="AS54">
            <v>1186</v>
          </cell>
          <cell r="AT54">
            <v>1224</v>
          </cell>
          <cell r="AU54">
            <v>1262</v>
          </cell>
          <cell r="AV54">
            <v>1301</v>
          </cell>
          <cell r="AW54">
            <v>1339</v>
          </cell>
          <cell r="AX54">
            <v>1377</v>
          </cell>
          <cell r="AY54">
            <v>1415</v>
          </cell>
          <cell r="AZ54">
            <v>1454</v>
          </cell>
          <cell r="BA54">
            <v>1492</v>
          </cell>
          <cell r="BB54">
            <v>1530</v>
          </cell>
          <cell r="BC54">
            <v>1568</v>
          </cell>
          <cell r="BD54">
            <v>1607</v>
          </cell>
          <cell r="BE54">
            <v>1645</v>
          </cell>
          <cell r="BF54">
            <v>1683</v>
          </cell>
          <cell r="BG54">
            <v>1721</v>
          </cell>
          <cell r="BH54">
            <v>1760</v>
          </cell>
          <cell r="BI54">
            <v>1798</v>
          </cell>
          <cell r="BJ54">
            <v>1836</v>
          </cell>
          <cell r="BK54">
            <v>1874</v>
          </cell>
          <cell r="BL54">
            <v>1913</v>
          </cell>
          <cell r="BM54">
            <v>1951</v>
          </cell>
          <cell r="BN54">
            <v>1989</v>
          </cell>
          <cell r="BO54">
            <v>2027</v>
          </cell>
          <cell r="BP54">
            <v>2066</v>
          </cell>
          <cell r="BQ54">
            <v>2104</v>
          </cell>
          <cell r="BR54">
            <v>2142</v>
          </cell>
          <cell r="BS54">
            <v>2180</v>
          </cell>
          <cell r="BT54">
            <v>2219</v>
          </cell>
          <cell r="BU54">
            <v>2257</v>
          </cell>
          <cell r="BV54">
            <v>2295</v>
          </cell>
          <cell r="BW54">
            <v>2333</v>
          </cell>
          <cell r="BX54">
            <v>2372</v>
          </cell>
          <cell r="BY54">
            <v>2410</v>
          </cell>
          <cell r="BZ54">
            <v>2448</v>
          </cell>
          <cell r="CA54">
            <v>2486</v>
          </cell>
          <cell r="CB54">
            <v>2525</v>
          </cell>
          <cell r="CC54">
            <v>2563</v>
          </cell>
          <cell r="CD54">
            <v>2601</v>
          </cell>
          <cell r="CE54">
            <v>2639</v>
          </cell>
          <cell r="CF54">
            <v>2678</v>
          </cell>
          <cell r="CG54">
            <v>2716</v>
          </cell>
          <cell r="CH54">
            <v>2754</v>
          </cell>
          <cell r="CI54">
            <v>2792</v>
          </cell>
          <cell r="CJ54">
            <v>2831</v>
          </cell>
          <cell r="CK54">
            <v>2869</v>
          </cell>
          <cell r="CL54">
            <v>2907</v>
          </cell>
          <cell r="CM54">
            <v>2945</v>
          </cell>
          <cell r="CN54">
            <v>2984</v>
          </cell>
          <cell r="CO54">
            <v>3022</v>
          </cell>
          <cell r="CP54">
            <v>3060</v>
          </cell>
          <cell r="CQ54">
            <v>3098</v>
          </cell>
          <cell r="CR54">
            <v>3137</v>
          </cell>
          <cell r="CS54">
            <v>3175</v>
          </cell>
          <cell r="CT54">
            <v>3213</v>
          </cell>
          <cell r="CU54">
            <v>3251</v>
          </cell>
          <cell r="CV54">
            <v>3290</v>
          </cell>
          <cell r="CW54">
            <v>3328</v>
          </cell>
          <cell r="CX54">
            <v>3366</v>
          </cell>
          <cell r="CY54">
            <v>3404</v>
          </cell>
          <cell r="CZ54">
            <v>3443</v>
          </cell>
          <cell r="DA54">
            <v>3481</v>
          </cell>
          <cell r="DB54">
            <v>3519</v>
          </cell>
          <cell r="DC54">
            <v>3557</v>
          </cell>
          <cell r="DD54">
            <v>3596</v>
          </cell>
          <cell r="DE54">
            <v>3634</v>
          </cell>
          <cell r="DF54">
            <v>3672</v>
          </cell>
          <cell r="DG54">
            <v>3710</v>
          </cell>
          <cell r="DH54">
            <v>3749</v>
          </cell>
          <cell r="DI54">
            <v>3787</v>
          </cell>
          <cell r="DJ54">
            <v>3825</v>
          </cell>
          <cell r="DK54">
            <v>3863</v>
          </cell>
          <cell r="DL54">
            <v>3902</v>
          </cell>
          <cell r="DM54">
            <v>3940</v>
          </cell>
          <cell r="DN54">
            <v>3978</v>
          </cell>
          <cell r="DO54">
            <v>4016</v>
          </cell>
          <cell r="DP54">
            <v>4055</v>
          </cell>
          <cell r="DQ54">
            <v>4093</v>
          </cell>
          <cell r="DR54">
            <v>4131</v>
          </cell>
          <cell r="DS54">
            <v>4169</v>
          </cell>
          <cell r="DT54">
            <v>4208</v>
          </cell>
          <cell r="DU54">
            <v>4246</v>
          </cell>
          <cell r="DV54">
            <v>4284</v>
          </cell>
          <cell r="DW54">
            <v>4322</v>
          </cell>
          <cell r="DX54">
            <v>4361</v>
          </cell>
          <cell r="DY54">
            <v>4399</v>
          </cell>
          <cell r="DZ54">
            <v>4437</v>
          </cell>
          <cell r="EA54">
            <v>4475</v>
          </cell>
          <cell r="EB54">
            <v>4514</v>
          </cell>
          <cell r="EC54">
            <v>4552</v>
          </cell>
          <cell r="ED54">
            <v>4590</v>
          </cell>
          <cell r="EE54">
            <v>4628</v>
          </cell>
          <cell r="EF54">
            <v>4667</v>
          </cell>
          <cell r="EG54">
            <v>4705</v>
          </cell>
          <cell r="EH54">
            <v>4743</v>
          </cell>
          <cell r="EI54">
            <v>4781</v>
          </cell>
          <cell r="EJ54">
            <v>4820</v>
          </cell>
          <cell r="EK54">
            <v>4858</v>
          </cell>
          <cell r="EL54">
            <v>4896</v>
          </cell>
          <cell r="EM54">
            <v>4934</v>
          </cell>
          <cell r="EN54">
            <v>4973</v>
          </cell>
          <cell r="EO54">
            <v>5011</v>
          </cell>
          <cell r="EP54">
            <v>5049</v>
          </cell>
          <cell r="EQ54">
            <v>5087</v>
          </cell>
          <cell r="ER54">
            <v>5126</v>
          </cell>
          <cell r="ES54">
            <v>5164</v>
          </cell>
          <cell r="ET54">
            <v>5202</v>
          </cell>
          <cell r="EU54">
            <v>5240</v>
          </cell>
          <cell r="EV54">
            <v>5279</v>
          </cell>
          <cell r="EW54">
            <v>5317</v>
          </cell>
          <cell r="EX54">
            <v>5355</v>
          </cell>
          <cell r="EY54">
            <v>5393</v>
          </cell>
          <cell r="EZ54">
            <v>5432</v>
          </cell>
          <cell r="FA54">
            <v>5470</v>
          </cell>
          <cell r="FB54">
            <v>5508</v>
          </cell>
          <cell r="FC54">
            <v>5546</v>
          </cell>
          <cell r="FD54">
            <v>5585</v>
          </cell>
          <cell r="FE54">
            <v>5623</v>
          </cell>
          <cell r="FF54">
            <v>5661</v>
          </cell>
          <cell r="FG54">
            <v>5699</v>
          </cell>
          <cell r="FH54">
            <v>5738</v>
          </cell>
          <cell r="FI54">
            <v>5776</v>
          </cell>
          <cell r="FJ54">
            <v>5814</v>
          </cell>
          <cell r="FK54">
            <v>5852</v>
          </cell>
          <cell r="FL54">
            <v>5891</v>
          </cell>
          <cell r="FM54">
            <v>5929</v>
          </cell>
          <cell r="FN54">
            <v>5967</v>
          </cell>
          <cell r="FO54">
            <v>6005</v>
          </cell>
          <cell r="FP54">
            <v>6044</v>
          </cell>
          <cell r="FQ54">
            <v>6082</v>
          </cell>
          <cell r="FR54">
            <v>6120</v>
          </cell>
          <cell r="FS54">
            <v>6158</v>
          </cell>
          <cell r="FT54">
            <v>6197</v>
          </cell>
          <cell r="FU54">
            <v>6235</v>
          </cell>
          <cell r="FV54">
            <v>6273</v>
          </cell>
          <cell r="FW54">
            <v>6311</v>
          </cell>
          <cell r="FX54">
            <v>6350</v>
          </cell>
          <cell r="FY54">
            <v>6388</v>
          </cell>
          <cell r="FZ54">
            <v>6426</v>
          </cell>
          <cell r="GA54">
            <v>6464</v>
          </cell>
          <cell r="GB54">
            <v>6503</v>
          </cell>
          <cell r="GC54">
            <v>6541</v>
          </cell>
          <cell r="GD54">
            <v>6579</v>
          </cell>
          <cell r="GE54">
            <v>6617</v>
          </cell>
          <cell r="GF54">
            <v>6656</v>
          </cell>
          <cell r="GG54">
            <v>6694</v>
          </cell>
          <cell r="GH54">
            <v>6732</v>
          </cell>
          <cell r="GI54">
            <v>6770</v>
          </cell>
          <cell r="GJ54">
            <v>6809</v>
          </cell>
          <cell r="GK54">
            <v>6847</v>
          </cell>
          <cell r="GL54">
            <v>6885</v>
          </cell>
          <cell r="GM54">
            <v>6923</v>
          </cell>
          <cell r="GN54">
            <v>6962</v>
          </cell>
          <cell r="GO54">
            <v>7000</v>
          </cell>
          <cell r="GP54">
            <v>7038</v>
          </cell>
          <cell r="GQ54">
            <v>7076</v>
          </cell>
          <cell r="GR54">
            <v>7115</v>
          </cell>
          <cell r="GS54">
            <v>7153</v>
          </cell>
          <cell r="GT54">
            <v>7191</v>
          </cell>
          <cell r="GU54">
            <v>7229</v>
          </cell>
          <cell r="GV54">
            <v>7268</v>
          </cell>
          <cell r="GW54">
            <v>7306</v>
          </cell>
          <cell r="GX54">
            <v>7344</v>
          </cell>
          <cell r="GY54">
            <v>7382</v>
          </cell>
          <cell r="GZ54">
            <v>7421</v>
          </cell>
          <cell r="HA54">
            <v>7459</v>
          </cell>
          <cell r="HB54">
            <v>7497</v>
          </cell>
          <cell r="HC54">
            <v>7535</v>
          </cell>
          <cell r="HD54">
            <v>7574</v>
          </cell>
          <cell r="HE54">
            <v>7612</v>
          </cell>
          <cell r="HF54">
            <v>7650</v>
          </cell>
        </row>
        <row r="66">
          <cell r="N66">
            <v>0</v>
          </cell>
          <cell r="O66">
            <v>500</v>
          </cell>
          <cell r="P66">
            <v>1000</v>
          </cell>
          <cell r="Q66">
            <v>1500</v>
          </cell>
          <cell r="R66">
            <v>2000</v>
          </cell>
          <cell r="S66">
            <v>2500</v>
          </cell>
          <cell r="T66">
            <v>3000</v>
          </cell>
          <cell r="U66">
            <v>3500</v>
          </cell>
          <cell r="V66">
            <v>4000</v>
          </cell>
          <cell r="W66">
            <v>4500</v>
          </cell>
          <cell r="X66">
            <v>5000</v>
          </cell>
          <cell r="Y66">
            <v>5500</v>
          </cell>
          <cell r="Z66">
            <v>6000</v>
          </cell>
          <cell r="AA66">
            <v>6500</v>
          </cell>
          <cell r="AB66">
            <v>7000</v>
          </cell>
          <cell r="AC66">
            <v>7500</v>
          </cell>
          <cell r="AD66">
            <v>8000</v>
          </cell>
          <cell r="AE66">
            <v>8500</v>
          </cell>
          <cell r="AF66">
            <v>9000</v>
          </cell>
          <cell r="AG66">
            <v>9500</v>
          </cell>
          <cell r="AH66">
            <v>10000</v>
          </cell>
          <cell r="AI66">
            <v>10500</v>
          </cell>
          <cell r="AJ66">
            <v>11000</v>
          </cell>
          <cell r="AK66">
            <v>11500</v>
          </cell>
          <cell r="AL66">
            <v>12000</v>
          </cell>
          <cell r="AM66">
            <v>12500</v>
          </cell>
          <cell r="AN66">
            <v>13000</v>
          </cell>
          <cell r="AO66">
            <v>13500</v>
          </cell>
          <cell r="AP66">
            <v>14000</v>
          </cell>
          <cell r="AQ66">
            <v>14500</v>
          </cell>
          <cell r="AR66">
            <v>15000</v>
          </cell>
          <cell r="AS66">
            <v>15500</v>
          </cell>
          <cell r="AT66">
            <v>16000</v>
          </cell>
          <cell r="AU66">
            <v>16500</v>
          </cell>
          <cell r="AV66">
            <v>17000</v>
          </cell>
          <cell r="AW66">
            <v>17500</v>
          </cell>
          <cell r="AX66">
            <v>18000</v>
          </cell>
          <cell r="AY66">
            <v>18500</v>
          </cell>
          <cell r="AZ66">
            <v>19000</v>
          </cell>
          <cell r="BA66">
            <v>19500</v>
          </cell>
          <cell r="BB66">
            <v>20000</v>
          </cell>
          <cell r="BC66">
            <v>20500</v>
          </cell>
          <cell r="BD66">
            <v>21000</v>
          </cell>
          <cell r="BE66">
            <v>21500</v>
          </cell>
          <cell r="BF66">
            <v>22000</v>
          </cell>
          <cell r="BG66">
            <v>22500</v>
          </cell>
          <cell r="BH66">
            <v>23000</v>
          </cell>
          <cell r="BI66">
            <v>23500</v>
          </cell>
          <cell r="BJ66">
            <v>24000</v>
          </cell>
          <cell r="BK66">
            <v>24500</v>
          </cell>
          <cell r="BL66">
            <v>25000</v>
          </cell>
          <cell r="BM66">
            <v>25500</v>
          </cell>
          <cell r="BN66">
            <v>26000</v>
          </cell>
          <cell r="BO66">
            <v>26500</v>
          </cell>
          <cell r="BP66">
            <v>27000</v>
          </cell>
          <cell r="BQ66">
            <v>27500</v>
          </cell>
          <cell r="BR66">
            <v>28000</v>
          </cell>
          <cell r="BS66">
            <v>28500</v>
          </cell>
          <cell r="BT66">
            <v>29000</v>
          </cell>
          <cell r="BU66">
            <v>29500</v>
          </cell>
          <cell r="BV66">
            <v>30000</v>
          </cell>
          <cell r="BW66">
            <v>30500</v>
          </cell>
          <cell r="BX66">
            <v>31000</v>
          </cell>
          <cell r="BY66">
            <v>31500</v>
          </cell>
          <cell r="BZ66">
            <v>32000</v>
          </cell>
          <cell r="CA66">
            <v>32500</v>
          </cell>
          <cell r="CB66">
            <v>33000</v>
          </cell>
          <cell r="CC66">
            <v>33500</v>
          </cell>
          <cell r="CD66">
            <v>34000</v>
          </cell>
          <cell r="CE66">
            <v>34500</v>
          </cell>
          <cell r="CF66">
            <v>35000</v>
          </cell>
          <cell r="CG66">
            <v>35500</v>
          </cell>
          <cell r="CH66">
            <v>36000</v>
          </cell>
          <cell r="CI66">
            <v>36500</v>
          </cell>
          <cell r="CJ66">
            <v>37000</v>
          </cell>
          <cell r="CK66">
            <v>37500</v>
          </cell>
          <cell r="CL66">
            <v>38000</v>
          </cell>
          <cell r="CM66">
            <v>38500</v>
          </cell>
          <cell r="CN66">
            <v>39000</v>
          </cell>
          <cell r="CO66">
            <v>39500</v>
          </cell>
          <cell r="CP66">
            <v>40000</v>
          </cell>
          <cell r="CQ66">
            <v>40500</v>
          </cell>
          <cell r="CR66">
            <v>41000</v>
          </cell>
          <cell r="CS66">
            <v>41500</v>
          </cell>
          <cell r="CT66">
            <v>42000</v>
          </cell>
          <cell r="CU66">
            <v>42500</v>
          </cell>
          <cell r="CV66">
            <v>43000</v>
          </cell>
          <cell r="CW66">
            <v>43500</v>
          </cell>
          <cell r="CX66">
            <v>44000</v>
          </cell>
          <cell r="CY66">
            <v>44500</v>
          </cell>
          <cell r="CZ66">
            <v>45000</v>
          </cell>
          <cell r="DA66">
            <v>45500</v>
          </cell>
          <cell r="DB66">
            <v>46000</v>
          </cell>
          <cell r="DC66">
            <v>46500</v>
          </cell>
          <cell r="DD66">
            <v>47000</v>
          </cell>
          <cell r="DE66">
            <v>47500</v>
          </cell>
          <cell r="DF66">
            <v>48000</v>
          </cell>
          <cell r="DG66">
            <v>48500</v>
          </cell>
          <cell r="DH66">
            <v>49000</v>
          </cell>
          <cell r="DI66">
            <v>49500</v>
          </cell>
          <cell r="DJ66">
            <v>50000</v>
          </cell>
          <cell r="DK66">
            <v>50500</v>
          </cell>
          <cell r="DL66">
            <v>51000</v>
          </cell>
          <cell r="DM66">
            <v>51500</v>
          </cell>
          <cell r="DN66">
            <v>52000</v>
          </cell>
          <cell r="DO66">
            <v>52500</v>
          </cell>
          <cell r="DP66">
            <v>53000</v>
          </cell>
          <cell r="DQ66">
            <v>53500</v>
          </cell>
          <cell r="DR66">
            <v>54000</v>
          </cell>
          <cell r="DS66">
            <v>54500</v>
          </cell>
          <cell r="DT66">
            <v>55000</v>
          </cell>
          <cell r="DU66">
            <v>55500</v>
          </cell>
          <cell r="DV66">
            <v>56000</v>
          </cell>
          <cell r="DW66">
            <v>56500</v>
          </cell>
          <cell r="DX66">
            <v>57000</v>
          </cell>
          <cell r="DY66">
            <v>57500</v>
          </cell>
          <cell r="DZ66">
            <v>58000</v>
          </cell>
          <cell r="EA66">
            <v>58500</v>
          </cell>
          <cell r="EB66">
            <v>59000</v>
          </cell>
          <cell r="EC66">
            <v>59500</v>
          </cell>
          <cell r="ED66">
            <v>60000</v>
          </cell>
          <cell r="EE66">
            <v>60500</v>
          </cell>
          <cell r="EF66">
            <v>61000</v>
          </cell>
          <cell r="EG66">
            <v>61500</v>
          </cell>
          <cell r="EH66">
            <v>62000</v>
          </cell>
          <cell r="EI66">
            <v>62500</v>
          </cell>
          <cell r="EJ66">
            <v>63000</v>
          </cell>
          <cell r="EK66">
            <v>63500</v>
          </cell>
          <cell r="EL66">
            <v>64000</v>
          </cell>
          <cell r="EM66">
            <v>64500</v>
          </cell>
          <cell r="EN66">
            <v>65000</v>
          </cell>
          <cell r="EO66">
            <v>65500</v>
          </cell>
          <cell r="EP66">
            <v>66000</v>
          </cell>
          <cell r="EQ66">
            <v>66500</v>
          </cell>
          <cell r="ER66">
            <v>67000</v>
          </cell>
          <cell r="ES66">
            <v>67500</v>
          </cell>
          <cell r="ET66">
            <v>68000</v>
          </cell>
          <cell r="EU66">
            <v>68500</v>
          </cell>
          <cell r="EV66">
            <v>69000</v>
          </cell>
          <cell r="EW66">
            <v>69500</v>
          </cell>
          <cell r="EX66">
            <v>70000</v>
          </cell>
          <cell r="EY66">
            <v>70500</v>
          </cell>
          <cell r="EZ66">
            <v>71000</v>
          </cell>
          <cell r="FA66">
            <v>71500</v>
          </cell>
          <cell r="FB66">
            <v>72000</v>
          </cell>
          <cell r="FC66">
            <v>72500</v>
          </cell>
          <cell r="FD66">
            <v>73000</v>
          </cell>
          <cell r="FE66">
            <v>73500</v>
          </cell>
          <cell r="FF66">
            <v>74000</v>
          </cell>
          <cell r="FG66">
            <v>74500</v>
          </cell>
          <cell r="FH66">
            <v>75000</v>
          </cell>
          <cell r="FI66">
            <v>75500</v>
          </cell>
          <cell r="FJ66">
            <v>76000</v>
          </cell>
          <cell r="FK66">
            <v>76500</v>
          </cell>
          <cell r="FL66">
            <v>77000</v>
          </cell>
          <cell r="FM66">
            <v>77500</v>
          </cell>
          <cell r="FN66">
            <v>78000</v>
          </cell>
          <cell r="FO66">
            <v>78500</v>
          </cell>
          <cell r="FP66">
            <v>79000</v>
          </cell>
          <cell r="FQ66">
            <v>79500</v>
          </cell>
          <cell r="FR66">
            <v>80000</v>
          </cell>
          <cell r="FS66">
            <v>80500</v>
          </cell>
          <cell r="FT66">
            <v>81000</v>
          </cell>
          <cell r="FU66">
            <v>81500</v>
          </cell>
          <cell r="FV66">
            <v>82000</v>
          </cell>
          <cell r="FW66">
            <v>82500</v>
          </cell>
          <cell r="FX66">
            <v>83000</v>
          </cell>
          <cell r="FY66">
            <v>83500</v>
          </cell>
          <cell r="FZ66">
            <v>84000</v>
          </cell>
          <cell r="GA66">
            <v>84500</v>
          </cell>
          <cell r="GB66">
            <v>85000</v>
          </cell>
          <cell r="GC66">
            <v>85500</v>
          </cell>
          <cell r="GD66">
            <v>86000</v>
          </cell>
          <cell r="GE66">
            <v>86500</v>
          </cell>
          <cell r="GF66">
            <v>87000</v>
          </cell>
          <cell r="GG66">
            <v>87500</v>
          </cell>
          <cell r="GH66">
            <v>88000</v>
          </cell>
          <cell r="GI66">
            <v>88500</v>
          </cell>
          <cell r="GJ66">
            <v>89000</v>
          </cell>
          <cell r="GK66">
            <v>89500</v>
          </cell>
          <cell r="GL66">
            <v>90000</v>
          </cell>
          <cell r="GM66">
            <v>90500</v>
          </cell>
          <cell r="GN66">
            <v>91000</v>
          </cell>
          <cell r="GO66">
            <v>91500</v>
          </cell>
          <cell r="GP66">
            <v>92000</v>
          </cell>
          <cell r="GQ66">
            <v>92500</v>
          </cell>
          <cell r="GR66">
            <v>93000</v>
          </cell>
          <cell r="GS66">
            <v>93500</v>
          </cell>
          <cell r="GT66">
            <v>94000</v>
          </cell>
          <cell r="GU66">
            <v>94500</v>
          </cell>
          <cell r="GV66">
            <v>95000</v>
          </cell>
          <cell r="GW66">
            <v>95500</v>
          </cell>
          <cell r="GX66">
            <v>96000</v>
          </cell>
          <cell r="GY66">
            <v>96500</v>
          </cell>
          <cell r="GZ66">
            <v>97000</v>
          </cell>
          <cell r="HA66">
            <v>97500</v>
          </cell>
          <cell r="HB66">
            <v>98000</v>
          </cell>
          <cell r="HC66">
            <v>98500</v>
          </cell>
          <cell r="HD66">
            <v>99000</v>
          </cell>
          <cell r="HE66">
            <v>99500</v>
          </cell>
          <cell r="HF66">
            <v>100000</v>
          </cell>
        </row>
        <row r="102">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6.8</v>
          </cell>
          <cell r="BB102">
            <v>40.799999999999997</v>
          </cell>
          <cell r="BC102">
            <v>74.8</v>
          </cell>
          <cell r="BD102">
            <v>108.8</v>
          </cell>
          <cell r="BE102">
            <v>144.9</v>
          </cell>
          <cell r="BF102">
            <v>179.4</v>
          </cell>
          <cell r="BG102">
            <v>213.9</v>
          </cell>
          <cell r="BH102">
            <v>248.4</v>
          </cell>
          <cell r="BI102">
            <v>287</v>
          </cell>
          <cell r="BJ102">
            <v>322</v>
          </cell>
          <cell r="BK102">
            <v>357</v>
          </cell>
          <cell r="BL102">
            <v>392</v>
          </cell>
          <cell r="BM102">
            <v>433.1</v>
          </cell>
          <cell r="BN102">
            <v>468.6</v>
          </cell>
          <cell r="BO102">
            <v>504.1</v>
          </cell>
          <cell r="BP102">
            <v>539.6</v>
          </cell>
          <cell r="BQ102">
            <v>583.20000000000005</v>
          </cell>
          <cell r="BR102">
            <v>619.20000000000005</v>
          </cell>
          <cell r="BS102">
            <v>655.20000000000005</v>
          </cell>
          <cell r="BT102">
            <v>691.2</v>
          </cell>
          <cell r="BU102">
            <v>737.3</v>
          </cell>
          <cell r="BV102">
            <v>773.8</v>
          </cell>
          <cell r="BW102">
            <v>810.3</v>
          </cell>
          <cell r="BX102">
            <v>846.8</v>
          </cell>
          <cell r="BY102">
            <v>895.4</v>
          </cell>
          <cell r="BZ102">
            <v>932.4</v>
          </cell>
          <cell r="CA102">
            <v>969.4</v>
          </cell>
          <cell r="CB102">
            <v>1006.4</v>
          </cell>
          <cell r="CC102">
            <v>1057.5</v>
          </cell>
          <cell r="CD102">
            <v>1095</v>
          </cell>
          <cell r="CE102">
            <v>1139.25</v>
          </cell>
          <cell r="CF102">
            <v>1184.25</v>
          </cell>
          <cell r="CG102">
            <v>1245.6399999999985</v>
          </cell>
          <cell r="CH102">
            <v>1291.2399999999984</v>
          </cell>
          <cell r="CI102">
            <v>1336.8399999999983</v>
          </cell>
          <cell r="CJ102">
            <v>1382.4399999999982</v>
          </cell>
          <cell r="CK102">
            <v>1446.8299999999981</v>
          </cell>
          <cell r="CL102">
            <v>1493.0299999999979</v>
          </cell>
          <cell r="CM102">
            <v>1539.229999999998</v>
          </cell>
          <cell r="CN102">
            <v>1585.429999999998</v>
          </cell>
          <cell r="CO102">
            <v>1652.8199999999979</v>
          </cell>
          <cell r="CP102">
            <v>1699.6199999999978</v>
          </cell>
          <cell r="CQ102">
            <v>1746.4199999999978</v>
          </cell>
          <cell r="CR102">
            <v>1793.2199999999978</v>
          </cell>
          <cell r="CS102">
            <v>1863.6099999999976</v>
          </cell>
          <cell r="CT102">
            <v>1911.0099999999975</v>
          </cell>
          <cell r="CU102">
            <v>1958.4099999999976</v>
          </cell>
          <cell r="CV102">
            <v>2005.8099999999974</v>
          </cell>
          <cell r="CW102">
            <v>2079.1999999999975</v>
          </cell>
          <cell r="CX102">
            <v>2127.1999999999971</v>
          </cell>
          <cell r="CY102">
            <v>2175.1999999999971</v>
          </cell>
          <cell r="CZ102">
            <v>2223.1999999999971</v>
          </cell>
          <cell r="DA102">
            <v>2271.1999999999971</v>
          </cell>
          <cell r="DB102">
            <v>2319.1999999999971</v>
          </cell>
          <cell r="DC102">
            <v>2367.1999999999971</v>
          </cell>
          <cell r="DD102">
            <v>2415.1999999999971</v>
          </cell>
          <cell r="DE102">
            <v>2463.1999999999971</v>
          </cell>
          <cell r="DF102">
            <v>2511.1999999999971</v>
          </cell>
          <cell r="DG102">
            <v>2559.1999999999966</v>
          </cell>
          <cell r="DH102">
            <v>2607.1999999999966</v>
          </cell>
          <cell r="DI102">
            <v>2655.1999999999966</v>
          </cell>
          <cell r="DJ102">
            <v>2703.1999999999966</v>
          </cell>
          <cell r="DK102">
            <v>2751.1999999999966</v>
          </cell>
          <cell r="DL102">
            <v>2799.1999999999966</v>
          </cell>
          <cell r="DM102">
            <v>2847.1999999999962</v>
          </cell>
          <cell r="DN102">
            <v>2895.1999999999962</v>
          </cell>
          <cell r="DO102">
            <v>2943.1999999999962</v>
          </cell>
          <cell r="DP102">
            <v>2991.1999999999962</v>
          </cell>
          <cell r="DQ102">
            <v>3039.1999999999962</v>
          </cell>
          <cell r="DR102">
            <v>3087.1999999999962</v>
          </cell>
          <cell r="DS102">
            <v>3135.1999999999962</v>
          </cell>
          <cell r="DT102">
            <v>3183.1999999999962</v>
          </cell>
          <cell r="DU102">
            <v>3231.1999999999962</v>
          </cell>
          <cell r="DV102">
            <v>3279.1999999999957</v>
          </cell>
          <cell r="DW102">
            <v>3327.1999999999957</v>
          </cell>
          <cell r="DX102">
            <v>3375.1999999999957</v>
          </cell>
          <cell r="DY102">
            <v>3423.1999999999957</v>
          </cell>
          <cell r="DZ102">
            <v>3471.1999999999957</v>
          </cell>
          <cell r="EA102">
            <v>3519.1999999999957</v>
          </cell>
          <cell r="EB102">
            <v>3567.1999999999953</v>
          </cell>
          <cell r="EC102">
            <v>3615.1999999999953</v>
          </cell>
          <cell r="ED102">
            <v>3663.1999999999953</v>
          </cell>
          <cell r="EE102">
            <v>3711.1999999999953</v>
          </cell>
          <cell r="EF102">
            <v>3759.1999999999953</v>
          </cell>
          <cell r="EG102">
            <v>3807.1999999999953</v>
          </cell>
          <cell r="EH102">
            <v>3855.1999999999953</v>
          </cell>
          <cell r="EI102">
            <v>3903.1999999999953</v>
          </cell>
          <cell r="EJ102">
            <v>3951.1999999999953</v>
          </cell>
          <cell r="EK102">
            <v>3999.1999999999948</v>
          </cell>
          <cell r="EL102">
            <v>4047.1999999999948</v>
          </cell>
          <cell r="EM102">
            <v>4095.1999999999948</v>
          </cell>
          <cell r="EN102">
            <v>4143.1999999999953</v>
          </cell>
          <cell r="EO102">
            <v>4191.1999999999953</v>
          </cell>
          <cell r="EP102">
            <v>4239.1999999999944</v>
          </cell>
          <cell r="EQ102">
            <v>4287.1999999999944</v>
          </cell>
          <cell r="ER102">
            <v>4335.1999999999944</v>
          </cell>
          <cell r="ES102">
            <v>4383.1999999999944</v>
          </cell>
          <cell r="ET102">
            <v>4431.1999999999944</v>
          </cell>
          <cell r="EU102">
            <v>4479.1999999999944</v>
          </cell>
          <cell r="EV102">
            <v>4527.1999999999944</v>
          </cell>
          <cell r="EW102">
            <v>4575.1999999999944</v>
          </cell>
          <cell r="EX102">
            <v>4623.1999999999944</v>
          </cell>
          <cell r="EY102">
            <v>4671.1999999999944</v>
          </cell>
          <cell r="EZ102">
            <v>4719.1999999999944</v>
          </cell>
          <cell r="FA102">
            <v>4767.1999999999935</v>
          </cell>
          <cell r="FB102">
            <v>4815.1999999999935</v>
          </cell>
          <cell r="FC102">
            <v>4863.1999999999935</v>
          </cell>
          <cell r="FD102">
            <v>4911.1999999999935</v>
          </cell>
          <cell r="FE102">
            <v>4959.1999999999935</v>
          </cell>
          <cell r="FF102">
            <v>5007.1999999999935</v>
          </cell>
          <cell r="FG102">
            <v>5055.1999999999935</v>
          </cell>
          <cell r="FH102">
            <v>5103.1999999999935</v>
          </cell>
          <cell r="FI102">
            <v>5167.1999999999935</v>
          </cell>
          <cell r="FJ102">
            <v>5255.1999999999935</v>
          </cell>
          <cell r="FK102">
            <v>5343.1999999999935</v>
          </cell>
          <cell r="FL102">
            <v>5431.1999999999935</v>
          </cell>
          <cell r="FM102">
            <v>5519.1999999999935</v>
          </cell>
          <cell r="FN102">
            <v>5607.1999999999935</v>
          </cell>
          <cell r="FO102">
            <v>5695.1999999999925</v>
          </cell>
          <cell r="FP102">
            <v>5783.1999999999925</v>
          </cell>
          <cell r="FQ102">
            <v>5871.1999999999925</v>
          </cell>
          <cell r="FR102">
            <v>5959.1999999999925</v>
          </cell>
          <cell r="FS102">
            <v>6047.1999999999925</v>
          </cell>
          <cell r="FT102">
            <v>6135.1999999999925</v>
          </cell>
          <cell r="FU102">
            <v>6223.1999999999916</v>
          </cell>
          <cell r="FV102">
            <v>6311.1999999999916</v>
          </cell>
          <cell r="FW102">
            <v>6399.1999999999916</v>
          </cell>
          <cell r="FX102">
            <v>6487.1999999999916</v>
          </cell>
          <cell r="FY102">
            <v>6575.1999999999916</v>
          </cell>
          <cell r="FZ102">
            <v>6663.1999999999916</v>
          </cell>
          <cell r="GA102">
            <v>6751.1999999999916</v>
          </cell>
          <cell r="GB102">
            <v>6839.1999999999916</v>
          </cell>
          <cell r="GC102">
            <v>6927.1999999999916</v>
          </cell>
          <cell r="GD102">
            <v>7015.1999999999916</v>
          </cell>
          <cell r="GE102">
            <v>7103.1999999999907</v>
          </cell>
          <cell r="GF102">
            <v>7191.1999999999907</v>
          </cell>
          <cell r="GG102">
            <v>7279.1999999999907</v>
          </cell>
          <cell r="GH102">
            <v>7367.1999999999907</v>
          </cell>
          <cell r="GI102">
            <v>7455.1999999999907</v>
          </cell>
          <cell r="GJ102">
            <v>7543.1999999999907</v>
          </cell>
          <cell r="GK102">
            <v>7631.1999999999898</v>
          </cell>
          <cell r="GL102">
            <v>7719.1999999999898</v>
          </cell>
          <cell r="GM102">
            <v>7807.1999999999898</v>
          </cell>
          <cell r="GN102">
            <v>7895.1999999999898</v>
          </cell>
          <cell r="GO102">
            <v>7983.1999999999898</v>
          </cell>
          <cell r="GP102">
            <v>8071.1999999999898</v>
          </cell>
          <cell r="GQ102">
            <v>8159.1999999999898</v>
          </cell>
          <cell r="GR102">
            <v>8247.1999999999898</v>
          </cell>
          <cell r="GS102">
            <v>8335.1999999999898</v>
          </cell>
          <cell r="GT102">
            <v>8423.1999999999898</v>
          </cell>
          <cell r="GU102">
            <v>8511.1999999999898</v>
          </cell>
          <cell r="GV102">
            <v>8599.1999999999898</v>
          </cell>
          <cell r="GW102">
            <v>8687.1999999999898</v>
          </cell>
          <cell r="GX102">
            <v>8775.1999999999898</v>
          </cell>
          <cell r="GY102">
            <v>8863.1999999999898</v>
          </cell>
          <cell r="GZ102">
            <v>8951.1999999999898</v>
          </cell>
          <cell r="HA102">
            <v>9039.199999999988</v>
          </cell>
          <cell r="HB102">
            <v>9127.199999999988</v>
          </cell>
          <cell r="HC102">
            <v>9215.199999999988</v>
          </cell>
          <cell r="HD102">
            <v>9303.199999999988</v>
          </cell>
          <cell r="HE102">
            <v>9391.199999999988</v>
          </cell>
          <cell r="HF102">
            <v>9479.199999999988</v>
          </cell>
        </row>
        <row r="108">
          <cell r="N108">
            <v>3000</v>
          </cell>
          <cell r="O108">
            <v>3000</v>
          </cell>
          <cell r="P108">
            <v>3000</v>
          </cell>
          <cell r="Q108">
            <v>3000</v>
          </cell>
          <cell r="R108">
            <v>3000</v>
          </cell>
          <cell r="S108">
            <v>3000</v>
          </cell>
          <cell r="T108">
            <v>3000</v>
          </cell>
          <cell r="U108">
            <v>3000</v>
          </cell>
          <cell r="V108">
            <v>3000</v>
          </cell>
          <cell r="W108">
            <v>3000</v>
          </cell>
          <cell r="X108">
            <v>3000</v>
          </cell>
          <cell r="Y108">
            <v>3000</v>
          </cell>
          <cell r="Z108">
            <v>3000</v>
          </cell>
          <cell r="AA108">
            <v>3000</v>
          </cell>
          <cell r="AB108">
            <v>3000</v>
          </cell>
          <cell r="AC108">
            <v>3000</v>
          </cell>
          <cell r="AD108">
            <v>3000</v>
          </cell>
          <cell r="AE108">
            <v>3000</v>
          </cell>
          <cell r="AF108">
            <v>3000</v>
          </cell>
          <cell r="AG108">
            <v>3000</v>
          </cell>
          <cell r="AH108">
            <v>3000</v>
          </cell>
          <cell r="AI108">
            <v>3000</v>
          </cell>
          <cell r="AJ108">
            <v>3000</v>
          </cell>
          <cell r="AK108">
            <v>3000</v>
          </cell>
          <cell r="AL108">
            <v>3000</v>
          </cell>
          <cell r="AM108">
            <v>3000</v>
          </cell>
          <cell r="AN108">
            <v>3000</v>
          </cell>
          <cell r="AO108">
            <v>3000</v>
          </cell>
          <cell r="AP108">
            <v>3000</v>
          </cell>
          <cell r="AQ108">
            <v>3000</v>
          </cell>
          <cell r="AR108">
            <v>3000</v>
          </cell>
          <cell r="AS108">
            <v>3000</v>
          </cell>
          <cell r="AT108">
            <v>3000</v>
          </cell>
          <cell r="AU108">
            <v>3000</v>
          </cell>
          <cell r="AV108">
            <v>3000</v>
          </cell>
          <cell r="AW108">
            <v>3000</v>
          </cell>
          <cell r="AX108">
            <v>3000</v>
          </cell>
          <cell r="AY108">
            <v>3000</v>
          </cell>
          <cell r="AZ108">
            <v>3000</v>
          </cell>
          <cell r="BA108">
            <v>3000</v>
          </cell>
          <cell r="BB108">
            <v>3000</v>
          </cell>
          <cell r="BC108">
            <v>3000</v>
          </cell>
          <cell r="BD108">
            <v>3000</v>
          </cell>
          <cell r="BE108">
            <v>3000</v>
          </cell>
          <cell r="BF108">
            <v>3000</v>
          </cell>
          <cell r="BG108">
            <v>3000</v>
          </cell>
          <cell r="BH108">
            <v>3000</v>
          </cell>
          <cell r="BI108">
            <v>3000</v>
          </cell>
          <cell r="BJ108">
            <v>3000</v>
          </cell>
          <cell r="BK108">
            <v>3000</v>
          </cell>
          <cell r="BL108">
            <v>3000</v>
          </cell>
          <cell r="BM108">
            <v>3000</v>
          </cell>
          <cell r="BN108">
            <v>3000</v>
          </cell>
          <cell r="BO108">
            <v>3000</v>
          </cell>
          <cell r="BP108">
            <v>3000</v>
          </cell>
          <cell r="BQ108">
            <v>3000</v>
          </cell>
          <cell r="BR108">
            <v>3000</v>
          </cell>
          <cell r="BS108">
            <v>3000</v>
          </cell>
          <cell r="BT108">
            <v>3000</v>
          </cell>
          <cell r="BU108">
            <v>3000</v>
          </cell>
          <cell r="BV108">
            <v>3000</v>
          </cell>
          <cell r="BW108">
            <v>3000</v>
          </cell>
          <cell r="BX108">
            <v>3000</v>
          </cell>
          <cell r="BY108">
            <v>3000</v>
          </cell>
          <cell r="BZ108">
            <v>3000</v>
          </cell>
          <cell r="CA108">
            <v>3000</v>
          </cell>
          <cell r="CB108">
            <v>3000</v>
          </cell>
          <cell r="CC108">
            <v>3000</v>
          </cell>
          <cell r="CD108">
            <v>3000</v>
          </cell>
          <cell r="CE108">
            <v>3000</v>
          </cell>
          <cell r="CF108">
            <v>3000</v>
          </cell>
          <cell r="CG108">
            <v>3000</v>
          </cell>
          <cell r="CH108">
            <v>3000</v>
          </cell>
          <cell r="CI108">
            <v>3000</v>
          </cell>
          <cell r="CJ108">
            <v>3000</v>
          </cell>
          <cell r="CK108">
            <v>3000</v>
          </cell>
          <cell r="CL108">
            <v>3000</v>
          </cell>
          <cell r="CM108">
            <v>3000</v>
          </cell>
          <cell r="CN108">
            <v>3000</v>
          </cell>
          <cell r="CO108">
            <v>3000</v>
          </cell>
          <cell r="CP108">
            <v>3000</v>
          </cell>
          <cell r="CQ108">
            <v>3000</v>
          </cell>
          <cell r="CR108">
            <v>3000</v>
          </cell>
          <cell r="CS108">
            <v>3000</v>
          </cell>
          <cell r="CT108">
            <v>3000</v>
          </cell>
          <cell r="CU108">
            <v>3000</v>
          </cell>
          <cell r="CV108">
            <v>3000</v>
          </cell>
          <cell r="CW108">
            <v>3000</v>
          </cell>
          <cell r="CX108">
            <v>3000</v>
          </cell>
          <cell r="CY108">
            <v>3000</v>
          </cell>
          <cell r="CZ108">
            <v>3000</v>
          </cell>
          <cell r="DA108">
            <v>3000</v>
          </cell>
          <cell r="DB108">
            <v>3000</v>
          </cell>
          <cell r="DC108">
            <v>3000</v>
          </cell>
          <cell r="DD108">
            <v>3000</v>
          </cell>
          <cell r="DE108">
            <v>3000</v>
          </cell>
          <cell r="DF108">
            <v>3000</v>
          </cell>
          <cell r="DG108">
            <v>3000</v>
          </cell>
          <cell r="DH108">
            <v>3000</v>
          </cell>
          <cell r="DI108">
            <v>3000</v>
          </cell>
          <cell r="DJ108">
            <v>3000</v>
          </cell>
          <cell r="DK108">
            <v>3000</v>
          </cell>
          <cell r="DL108">
            <v>3000</v>
          </cell>
          <cell r="DM108">
            <v>3000</v>
          </cell>
          <cell r="DN108">
            <v>3000</v>
          </cell>
          <cell r="DO108">
            <v>3000</v>
          </cell>
          <cell r="DP108">
            <v>3000</v>
          </cell>
          <cell r="DQ108">
            <v>3000</v>
          </cell>
          <cell r="DR108">
            <v>3000</v>
          </cell>
          <cell r="DS108">
            <v>3000</v>
          </cell>
          <cell r="DT108">
            <v>3000</v>
          </cell>
          <cell r="DU108">
            <v>3000</v>
          </cell>
          <cell r="DV108">
            <v>3000</v>
          </cell>
          <cell r="DW108">
            <v>3000</v>
          </cell>
          <cell r="DX108">
            <v>3000</v>
          </cell>
          <cell r="DY108">
            <v>3000</v>
          </cell>
          <cell r="DZ108">
            <v>3000</v>
          </cell>
          <cell r="EA108">
            <v>3000</v>
          </cell>
          <cell r="EB108">
            <v>3000</v>
          </cell>
          <cell r="EC108">
            <v>3000</v>
          </cell>
          <cell r="ED108">
            <v>3000</v>
          </cell>
          <cell r="EE108">
            <v>3000</v>
          </cell>
          <cell r="EF108">
            <v>3000</v>
          </cell>
          <cell r="EG108">
            <v>3000</v>
          </cell>
          <cell r="EH108">
            <v>3000</v>
          </cell>
          <cell r="EI108">
            <v>3000</v>
          </cell>
          <cell r="EJ108">
            <v>3000</v>
          </cell>
          <cell r="EK108">
            <v>3000</v>
          </cell>
          <cell r="EL108">
            <v>3000</v>
          </cell>
          <cell r="EM108">
            <v>3000</v>
          </cell>
          <cell r="EN108">
            <v>3000</v>
          </cell>
          <cell r="EO108">
            <v>3000</v>
          </cell>
          <cell r="EP108">
            <v>3000</v>
          </cell>
          <cell r="EQ108">
            <v>3000</v>
          </cell>
          <cell r="ER108">
            <v>3000</v>
          </cell>
          <cell r="ES108">
            <v>3000</v>
          </cell>
          <cell r="ET108">
            <v>3000</v>
          </cell>
          <cell r="EU108">
            <v>3000</v>
          </cell>
          <cell r="EV108">
            <v>3000</v>
          </cell>
          <cell r="EW108">
            <v>3000</v>
          </cell>
          <cell r="EX108">
            <v>3000</v>
          </cell>
          <cell r="EY108">
            <v>3000</v>
          </cell>
          <cell r="EZ108">
            <v>3000</v>
          </cell>
          <cell r="FA108">
            <v>3000</v>
          </cell>
          <cell r="FB108">
            <v>3000</v>
          </cell>
          <cell r="FC108">
            <v>3000</v>
          </cell>
          <cell r="FD108">
            <v>3000</v>
          </cell>
          <cell r="FE108">
            <v>3000</v>
          </cell>
          <cell r="FF108">
            <v>3000</v>
          </cell>
          <cell r="FG108">
            <v>3000</v>
          </cell>
          <cell r="FH108">
            <v>3000</v>
          </cell>
          <cell r="FI108">
            <v>3000</v>
          </cell>
          <cell r="FJ108">
            <v>3000</v>
          </cell>
          <cell r="FK108">
            <v>3000</v>
          </cell>
          <cell r="FL108">
            <v>3000</v>
          </cell>
          <cell r="FM108">
            <v>3000</v>
          </cell>
          <cell r="FN108">
            <v>3000</v>
          </cell>
          <cell r="FO108">
            <v>3000</v>
          </cell>
          <cell r="FP108">
            <v>3000</v>
          </cell>
          <cell r="FQ108">
            <v>3000</v>
          </cell>
          <cell r="FR108">
            <v>3000</v>
          </cell>
          <cell r="FS108">
            <v>3000</v>
          </cell>
          <cell r="FT108">
            <v>3000</v>
          </cell>
          <cell r="FU108">
            <v>3000</v>
          </cell>
          <cell r="FV108">
            <v>3000</v>
          </cell>
          <cell r="FW108">
            <v>3000</v>
          </cell>
          <cell r="FX108">
            <v>3000</v>
          </cell>
          <cell r="FY108">
            <v>3000</v>
          </cell>
          <cell r="FZ108">
            <v>3000</v>
          </cell>
          <cell r="GA108">
            <v>3000</v>
          </cell>
          <cell r="GB108">
            <v>3000</v>
          </cell>
          <cell r="GC108">
            <v>3000</v>
          </cell>
          <cell r="GD108">
            <v>3000</v>
          </cell>
          <cell r="GE108">
            <v>3000</v>
          </cell>
          <cell r="GF108">
            <v>3000</v>
          </cell>
          <cell r="GG108">
            <v>3000</v>
          </cell>
          <cell r="GH108">
            <v>3000</v>
          </cell>
          <cell r="GI108">
            <v>3000</v>
          </cell>
          <cell r="GJ108">
            <v>3000</v>
          </cell>
          <cell r="GK108">
            <v>3000</v>
          </cell>
          <cell r="GL108">
            <v>3000</v>
          </cell>
          <cell r="GM108">
            <v>3000</v>
          </cell>
          <cell r="GN108">
            <v>3000</v>
          </cell>
          <cell r="GO108">
            <v>3000</v>
          </cell>
          <cell r="GP108">
            <v>3000</v>
          </cell>
          <cell r="GQ108">
            <v>3000</v>
          </cell>
          <cell r="GR108">
            <v>3000</v>
          </cell>
          <cell r="GS108">
            <v>3000</v>
          </cell>
          <cell r="GT108">
            <v>3000</v>
          </cell>
          <cell r="GU108">
            <v>3000</v>
          </cell>
          <cell r="GV108">
            <v>3000</v>
          </cell>
          <cell r="GW108">
            <v>3000</v>
          </cell>
          <cell r="GX108">
            <v>3000</v>
          </cell>
          <cell r="GY108">
            <v>3000</v>
          </cell>
          <cell r="GZ108">
            <v>3000</v>
          </cell>
          <cell r="HA108">
            <v>3000</v>
          </cell>
          <cell r="HB108">
            <v>3000</v>
          </cell>
          <cell r="HC108">
            <v>3000</v>
          </cell>
          <cell r="HD108">
            <v>3000</v>
          </cell>
          <cell r="HE108">
            <v>3000</v>
          </cell>
          <cell r="HF108">
            <v>3000</v>
          </cell>
        </row>
        <row r="122">
          <cell r="N122">
            <v>0</v>
          </cell>
          <cell r="O122">
            <v>210</v>
          </cell>
          <cell r="P122">
            <v>410</v>
          </cell>
          <cell r="Q122">
            <v>610</v>
          </cell>
          <cell r="R122">
            <v>810</v>
          </cell>
          <cell r="S122">
            <v>1010</v>
          </cell>
          <cell r="T122">
            <v>1210</v>
          </cell>
          <cell r="U122">
            <v>1410</v>
          </cell>
          <cell r="V122">
            <v>1610</v>
          </cell>
          <cell r="W122">
            <v>1810</v>
          </cell>
          <cell r="X122">
            <v>2010</v>
          </cell>
          <cell r="Y122">
            <v>2210</v>
          </cell>
          <cell r="Z122">
            <v>2410</v>
          </cell>
          <cell r="AA122">
            <v>2610</v>
          </cell>
          <cell r="AB122">
            <v>2810</v>
          </cell>
          <cell r="AC122">
            <v>3010</v>
          </cell>
          <cell r="AD122">
            <v>3210</v>
          </cell>
          <cell r="AE122">
            <v>3410</v>
          </cell>
          <cell r="AF122">
            <v>3610</v>
          </cell>
          <cell r="AG122">
            <v>3810</v>
          </cell>
          <cell r="AH122">
            <v>4010</v>
          </cell>
          <cell r="AI122">
            <v>4210</v>
          </cell>
          <cell r="AJ122">
            <v>4410</v>
          </cell>
          <cell r="AK122">
            <v>4610</v>
          </cell>
          <cell r="AL122">
            <v>4810</v>
          </cell>
          <cell r="AM122">
            <v>5010</v>
          </cell>
          <cell r="AN122">
            <v>5210</v>
          </cell>
          <cell r="AO122">
            <v>5410</v>
          </cell>
          <cell r="AP122">
            <v>5610</v>
          </cell>
          <cell r="AQ122">
            <v>5810</v>
          </cell>
          <cell r="AR122">
            <v>6010</v>
          </cell>
          <cell r="AS122">
            <v>6164</v>
          </cell>
          <cell r="AT122">
            <v>6164</v>
          </cell>
          <cell r="AU122">
            <v>6164</v>
          </cell>
          <cell r="AV122">
            <v>6164</v>
          </cell>
          <cell r="AW122">
            <v>6164</v>
          </cell>
          <cell r="AX122">
            <v>6164</v>
          </cell>
          <cell r="AY122">
            <v>6164</v>
          </cell>
          <cell r="AZ122">
            <v>6164</v>
          </cell>
          <cell r="BA122">
            <v>6164</v>
          </cell>
          <cell r="BB122">
            <v>6164</v>
          </cell>
          <cell r="BC122">
            <v>6081</v>
          </cell>
          <cell r="BD122">
            <v>5976</v>
          </cell>
          <cell r="BE122">
            <v>5870</v>
          </cell>
          <cell r="BF122">
            <v>5765</v>
          </cell>
          <cell r="BG122">
            <v>5660</v>
          </cell>
          <cell r="BH122">
            <v>5554</v>
          </cell>
          <cell r="BI122">
            <v>5449</v>
          </cell>
          <cell r="BJ122">
            <v>5344</v>
          </cell>
          <cell r="BK122">
            <v>5238</v>
          </cell>
          <cell r="BL122">
            <v>5133</v>
          </cell>
          <cell r="BM122">
            <v>5028</v>
          </cell>
          <cell r="BN122">
            <v>4923</v>
          </cell>
          <cell r="BO122">
            <v>4817</v>
          </cell>
          <cell r="BP122">
            <v>4712</v>
          </cell>
          <cell r="BQ122">
            <v>4607</v>
          </cell>
          <cell r="BR122">
            <v>4501</v>
          </cell>
          <cell r="BS122">
            <v>4396</v>
          </cell>
          <cell r="BT122">
            <v>4291</v>
          </cell>
          <cell r="BU122">
            <v>4185</v>
          </cell>
          <cell r="BV122">
            <v>4080</v>
          </cell>
          <cell r="BW122">
            <v>3975</v>
          </cell>
          <cell r="BX122">
            <v>3870</v>
          </cell>
          <cell r="BY122">
            <v>3764</v>
          </cell>
          <cell r="BZ122">
            <v>3659</v>
          </cell>
          <cell r="CA122">
            <v>3554</v>
          </cell>
          <cell r="CB122">
            <v>3448</v>
          </cell>
          <cell r="CC122">
            <v>3343</v>
          </cell>
          <cell r="CD122">
            <v>3238</v>
          </cell>
          <cell r="CE122">
            <v>3132</v>
          </cell>
          <cell r="CF122">
            <v>3027</v>
          </cell>
          <cell r="CG122">
            <v>2922</v>
          </cell>
          <cell r="CH122">
            <v>2817</v>
          </cell>
          <cell r="CI122">
            <v>2711</v>
          </cell>
          <cell r="CJ122">
            <v>2606</v>
          </cell>
          <cell r="CK122">
            <v>2501</v>
          </cell>
          <cell r="CL122">
            <v>2395</v>
          </cell>
          <cell r="CM122">
            <v>2290</v>
          </cell>
          <cell r="CN122">
            <v>2185</v>
          </cell>
          <cell r="CO122">
            <v>2079</v>
          </cell>
          <cell r="CP122">
            <v>1974</v>
          </cell>
          <cell r="CQ122">
            <v>1869</v>
          </cell>
          <cell r="CR122">
            <v>1764</v>
          </cell>
          <cell r="CS122">
            <v>1658</v>
          </cell>
          <cell r="CT122">
            <v>1553</v>
          </cell>
          <cell r="CU122">
            <v>1448</v>
          </cell>
          <cell r="CV122">
            <v>1342</v>
          </cell>
          <cell r="CW122">
            <v>1237</v>
          </cell>
          <cell r="CX122">
            <v>1132</v>
          </cell>
          <cell r="CY122">
            <v>1026</v>
          </cell>
          <cell r="CZ122">
            <v>921</v>
          </cell>
          <cell r="DA122">
            <v>816</v>
          </cell>
          <cell r="DB122">
            <v>711</v>
          </cell>
          <cell r="DC122">
            <v>605</v>
          </cell>
          <cell r="DD122">
            <v>500</v>
          </cell>
          <cell r="DE122">
            <v>395</v>
          </cell>
          <cell r="DF122">
            <v>289</v>
          </cell>
          <cell r="DG122">
            <v>184</v>
          </cell>
          <cell r="DH122">
            <v>79</v>
          </cell>
          <cell r="DI122">
            <v>0</v>
          </cell>
          <cell r="DJ122">
            <v>0</v>
          </cell>
          <cell r="DK122">
            <v>0</v>
          </cell>
          <cell r="DL122">
            <v>0</v>
          </cell>
          <cell r="DM122">
            <v>0</v>
          </cell>
          <cell r="DN122">
            <v>0</v>
          </cell>
          <cell r="DO122">
            <v>0</v>
          </cell>
          <cell r="DP122">
            <v>0</v>
          </cell>
          <cell r="DQ122">
            <v>0</v>
          </cell>
          <cell r="DR122">
            <v>0</v>
          </cell>
          <cell r="DS122">
            <v>0</v>
          </cell>
          <cell r="DT122">
            <v>0</v>
          </cell>
          <cell r="DU122">
            <v>0</v>
          </cell>
          <cell r="DV122">
            <v>0</v>
          </cell>
          <cell r="DW122">
            <v>0</v>
          </cell>
          <cell r="DX122">
            <v>0</v>
          </cell>
          <cell r="DY122">
            <v>0</v>
          </cell>
          <cell r="DZ122">
            <v>0</v>
          </cell>
          <cell r="EA122">
            <v>0</v>
          </cell>
          <cell r="EB122">
            <v>0</v>
          </cell>
          <cell r="EC122">
            <v>0</v>
          </cell>
          <cell r="ED122">
            <v>0</v>
          </cell>
          <cell r="EE122">
            <v>0</v>
          </cell>
          <cell r="EF122">
            <v>0</v>
          </cell>
          <cell r="EG122">
            <v>0</v>
          </cell>
          <cell r="EH122">
            <v>0</v>
          </cell>
          <cell r="EI122">
            <v>0</v>
          </cell>
          <cell r="EJ122">
            <v>0</v>
          </cell>
          <cell r="EK122">
            <v>0</v>
          </cell>
          <cell r="EL122">
            <v>0</v>
          </cell>
          <cell r="EM122">
            <v>0</v>
          </cell>
          <cell r="EN122">
            <v>0</v>
          </cell>
          <cell r="EO122">
            <v>0</v>
          </cell>
          <cell r="EP122">
            <v>0</v>
          </cell>
          <cell r="EQ122">
            <v>0</v>
          </cell>
          <cell r="ER122">
            <v>0</v>
          </cell>
          <cell r="ES122">
            <v>0</v>
          </cell>
          <cell r="ET122">
            <v>0</v>
          </cell>
          <cell r="EU122">
            <v>0</v>
          </cell>
          <cell r="EV122">
            <v>0</v>
          </cell>
          <cell r="EW122">
            <v>0</v>
          </cell>
          <cell r="EX122">
            <v>0</v>
          </cell>
          <cell r="EY122">
            <v>0</v>
          </cell>
          <cell r="EZ122">
            <v>0</v>
          </cell>
          <cell r="FA122">
            <v>0</v>
          </cell>
          <cell r="FB122">
            <v>0</v>
          </cell>
          <cell r="FC122">
            <v>0</v>
          </cell>
          <cell r="FD122">
            <v>0</v>
          </cell>
          <cell r="FE122">
            <v>0</v>
          </cell>
          <cell r="FF122">
            <v>0</v>
          </cell>
          <cell r="FG122">
            <v>0</v>
          </cell>
          <cell r="FH122">
            <v>0</v>
          </cell>
          <cell r="FI122">
            <v>0</v>
          </cell>
          <cell r="FJ122">
            <v>0</v>
          </cell>
          <cell r="FK122">
            <v>0</v>
          </cell>
          <cell r="FL122">
            <v>0</v>
          </cell>
          <cell r="FM122">
            <v>0</v>
          </cell>
          <cell r="FN122">
            <v>0</v>
          </cell>
          <cell r="FO122">
            <v>0</v>
          </cell>
          <cell r="FP122">
            <v>0</v>
          </cell>
          <cell r="FQ122">
            <v>0</v>
          </cell>
          <cell r="FR122">
            <v>0</v>
          </cell>
          <cell r="FS122">
            <v>0</v>
          </cell>
          <cell r="FT122">
            <v>0</v>
          </cell>
          <cell r="FU122">
            <v>0</v>
          </cell>
          <cell r="FV122">
            <v>0</v>
          </cell>
          <cell r="FW122">
            <v>0</v>
          </cell>
          <cell r="FX122">
            <v>0</v>
          </cell>
          <cell r="FY122">
            <v>0</v>
          </cell>
          <cell r="FZ122">
            <v>0</v>
          </cell>
          <cell r="GA122">
            <v>0</v>
          </cell>
          <cell r="GB122">
            <v>0</v>
          </cell>
          <cell r="GC122">
            <v>0</v>
          </cell>
          <cell r="GD122">
            <v>0</v>
          </cell>
          <cell r="GE122">
            <v>0</v>
          </cell>
          <cell r="GF122">
            <v>0</v>
          </cell>
          <cell r="GG122">
            <v>0</v>
          </cell>
          <cell r="GH122">
            <v>0</v>
          </cell>
          <cell r="GI122">
            <v>0</v>
          </cell>
          <cell r="GJ122">
            <v>0</v>
          </cell>
          <cell r="GK122">
            <v>0</v>
          </cell>
          <cell r="GL122">
            <v>0</v>
          </cell>
          <cell r="GM122">
            <v>0</v>
          </cell>
          <cell r="GN122">
            <v>0</v>
          </cell>
          <cell r="GO122">
            <v>0</v>
          </cell>
          <cell r="GP122">
            <v>0</v>
          </cell>
          <cell r="GQ122">
            <v>0</v>
          </cell>
          <cell r="GR122">
            <v>0</v>
          </cell>
          <cell r="GS122">
            <v>0</v>
          </cell>
          <cell r="GT122">
            <v>0</v>
          </cell>
          <cell r="GU122">
            <v>0</v>
          </cell>
          <cell r="GV122">
            <v>0</v>
          </cell>
          <cell r="GW122">
            <v>0</v>
          </cell>
          <cell r="GX122">
            <v>0</v>
          </cell>
          <cell r="GY122">
            <v>0</v>
          </cell>
          <cell r="GZ122">
            <v>0</v>
          </cell>
          <cell r="HA122">
            <v>0</v>
          </cell>
          <cell r="HB122">
            <v>0</v>
          </cell>
          <cell r="HC122">
            <v>0</v>
          </cell>
          <cell r="HD122">
            <v>0</v>
          </cell>
          <cell r="HE122">
            <v>0</v>
          </cell>
          <cell r="HF122">
            <v>0</v>
          </cell>
        </row>
        <row r="140">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cell r="DX140">
            <v>0</v>
          </cell>
          <cell r="DY140">
            <v>0</v>
          </cell>
          <cell r="DZ140">
            <v>0</v>
          </cell>
          <cell r="EA140">
            <v>0</v>
          </cell>
          <cell r="EB140">
            <v>0</v>
          </cell>
          <cell r="EC140">
            <v>0</v>
          </cell>
          <cell r="ED140">
            <v>0</v>
          </cell>
          <cell r="EE140">
            <v>0</v>
          </cell>
          <cell r="EF140">
            <v>0</v>
          </cell>
          <cell r="EG140">
            <v>0</v>
          </cell>
          <cell r="EH140">
            <v>0</v>
          </cell>
          <cell r="EI140">
            <v>0</v>
          </cell>
          <cell r="EJ140">
            <v>0</v>
          </cell>
          <cell r="EK140">
            <v>0</v>
          </cell>
          <cell r="EL140">
            <v>0</v>
          </cell>
          <cell r="EM140">
            <v>0</v>
          </cell>
          <cell r="EN140">
            <v>0</v>
          </cell>
          <cell r="EO140">
            <v>0</v>
          </cell>
          <cell r="EP140">
            <v>0</v>
          </cell>
          <cell r="EQ140">
            <v>0</v>
          </cell>
          <cell r="ER140">
            <v>0</v>
          </cell>
          <cell r="ES140">
            <v>0</v>
          </cell>
          <cell r="ET140">
            <v>0</v>
          </cell>
          <cell r="EU140">
            <v>0</v>
          </cell>
          <cell r="EV140">
            <v>0</v>
          </cell>
          <cell r="EW140">
            <v>0</v>
          </cell>
          <cell r="EX140">
            <v>0</v>
          </cell>
          <cell r="EY140">
            <v>0</v>
          </cell>
          <cell r="EZ140">
            <v>0</v>
          </cell>
          <cell r="FA140">
            <v>0</v>
          </cell>
          <cell r="FB140">
            <v>0</v>
          </cell>
          <cell r="FC140">
            <v>0</v>
          </cell>
          <cell r="FD140">
            <v>0</v>
          </cell>
          <cell r="FE140">
            <v>0</v>
          </cell>
          <cell r="FF140">
            <v>0</v>
          </cell>
          <cell r="FG140">
            <v>0</v>
          </cell>
          <cell r="FH140">
            <v>0</v>
          </cell>
          <cell r="FI140">
            <v>0</v>
          </cell>
          <cell r="FJ140">
            <v>0</v>
          </cell>
          <cell r="FK140">
            <v>0</v>
          </cell>
          <cell r="FL140">
            <v>0</v>
          </cell>
          <cell r="FM140">
            <v>0</v>
          </cell>
          <cell r="FN140">
            <v>0</v>
          </cell>
          <cell r="FO140">
            <v>0</v>
          </cell>
          <cell r="FP140">
            <v>0</v>
          </cell>
          <cell r="FQ140">
            <v>0</v>
          </cell>
          <cell r="FR140">
            <v>0</v>
          </cell>
          <cell r="FS140">
            <v>0</v>
          </cell>
          <cell r="FT140">
            <v>0</v>
          </cell>
          <cell r="FU140">
            <v>0</v>
          </cell>
          <cell r="FV140">
            <v>0</v>
          </cell>
          <cell r="FW140">
            <v>0</v>
          </cell>
          <cell r="FX140">
            <v>0</v>
          </cell>
          <cell r="FY140">
            <v>0</v>
          </cell>
          <cell r="FZ140">
            <v>0</v>
          </cell>
          <cell r="GA140">
            <v>0</v>
          </cell>
          <cell r="GB140">
            <v>0</v>
          </cell>
          <cell r="GC140">
            <v>0</v>
          </cell>
          <cell r="GD140">
            <v>0</v>
          </cell>
          <cell r="GE140">
            <v>0</v>
          </cell>
          <cell r="GF140">
            <v>0</v>
          </cell>
          <cell r="GG140">
            <v>0</v>
          </cell>
          <cell r="GH140">
            <v>0</v>
          </cell>
          <cell r="GI140">
            <v>0</v>
          </cell>
          <cell r="GJ140">
            <v>0</v>
          </cell>
          <cell r="GK140">
            <v>0</v>
          </cell>
          <cell r="GL140">
            <v>0</v>
          </cell>
          <cell r="GM140">
            <v>0</v>
          </cell>
          <cell r="GN140">
            <v>0</v>
          </cell>
          <cell r="GO140">
            <v>0</v>
          </cell>
          <cell r="GP140">
            <v>0</v>
          </cell>
          <cell r="GQ140">
            <v>0</v>
          </cell>
          <cell r="GR140">
            <v>0</v>
          </cell>
          <cell r="GS140">
            <v>0</v>
          </cell>
          <cell r="GT140">
            <v>0</v>
          </cell>
          <cell r="GU140">
            <v>0</v>
          </cell>
          <cell r="GV140">
            <v>0</v>
          </cell>
          <cell r="GW140">
            <v>0</v>
          </cell>
          <cell r="GX140">
            <v>0</v>
          </cell>
          <cell r="GY140">
            <v>0</v>
          </cell>
          <cell r="GZ140">
            <v>0</v>
          </cell>
          <cell r="HA140">
            <v>0</v>
          </cell>
          <cell r="HB140">
            <v>0</v>
          </cell>
          <cell r="HC140">
            <v>0</v>
          </cell>
          <cell r="HD140">
            <v>0</v>
          </cell>
          <cell r="HE140">
            <v>0</v>
          </cell>
          <cell r="HF140">
            <v>0</v>
          </cell>
        </row>
        <row r="206">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7</v>
          </cell>
          <cell r="BC206">
            <v>14</v>
          </cell>
          <cell r="BD206">
            <v>26</v>
          </cell>
          <cell r="BE206">
            <v>36</v>
          </cell>
          <cell r="BF206">
            <v>46</v>
          </cell>
          <cell r="BG206">
            <v>59</v>
          </cell>
          <cell r="BH206">
            <v>72</v>
          </cell>
          <cell r="BI206">
            <v>86</v>
          </cell>
          <cell r="BJ206">
            <v>101</v>
          </cell>
          <cell r="BK206">
            <v>118</v>
          </cell>
          <cell r="BL206">
            <v>135</v>
          </cell>
          <cell r="BM206">
            <v>155</v>
          </cell>
          <cell r="BN206">
            <v>175</v>
          </cell>
          <cell r="BO206">
            <v>196</v>
          </cell>
          <cell r="BP206">
            <v>218</v>
          </cell>
          <cell r="BQ206">
            <v>240</v>
          </cell>
          <cell r="BR206">
            <v>265</v>
          </cell>
          <cell r="BS206">
            <v>289</v>
          </cell>
          <cell r="BT206">
            <v>315</v>
          </cell>
          <cell r="BU206">
            <v>341</v>
          </cell>
          <cell r="BV206">
            <v>367</v>
          </cell>
          <cell r="BW206">
            <v>393</v>
          </cell>
          <cell r="BX206">
            <v>419</v>
          </cell>
          <cell r="BY206">
            <v>445</v>
          </cell>
          <cell r="BZ206">
            <v>471</v>
          </cell>
          <cell r="CA206">
            <v>497</v>
          </cell>
          <cell r="CB206">
            <v>523</v>
          </cell>
          <cell r="CC206">
            <v>549</v>
          </cell>
          <cell r="CD206">
            <v>575</v>
          </cell>
          <cell r="CE206">
            <v>601</v>
          </cell>
          <cell r="CF206">
            <v>627</v>
          </cell>
          <cell r="CG206">
            <v>652</v>
          </cell>
          <cell r="CH206">
            <v>678</v>
          </cell>
          <cell r="CI206">
            <v>704</v>
          </cell>
          <cell r="CJ206">
            <v>730</v>
          </cell>
          <cell r="CK206">
            <v>756</v>
          </cell>
          <cell r="CL206">
            <v>782</v>
          </cell>
          <cell r="CM206">
            <v>808</v>
          </cell>
          <cell r="CN206">
            <v>833</v>
          </cell>
          <cell r="CO206">
            <v>859</v>
          </cell>
          <cell r="CP206">
            <v>885</v>
          </cell>
          <cell r="CQ206">
            <v>911</v>
          </cell>
          <cell r="CR206">
            <v>937</v>
          </cell>
          <cell r="CS206">
            <v>962</v>
          </cell>
          <cell r="CT206">
            <v>988</v>
          </cell>
          <cell r="CU206">
            <v>1014</v>
          </cell>
          <cell r="CV206">
            <v>1040</v>
          </cell>
          <cell r="CW206">
            <v>1065</v>
          </cell>
          <cell r="CX206">
            <v>1091</v>
          </cell>
          <cell r="CY206">
            <v>1117</v>
          </cell>
          <cell r="CZ206">
            <v>1143</v>
          </cell>
          <cell r="DA206">
            <v>1169</v>
          </cell>
          <cell r="DB206">
            <v>1195</v>
          </cell>
          <cell r="DC206">
            <v>1221</v>
          </cell>
          <cell r="DD206">
            <v>1246</v>
          </cell>
          <cell r="DE206">
            <v>1272</v>
          </cell>
          <cell r="DF206">
            <v>1298</v>
          </cell>
          <cell r="DG206">
            <v>1324</v>
          </cell>
          <cell r="DH206">
            <v>1350</v>
          </cell>
          <cell r="DI206">
            <v>1376</v>
          </cell>
          <cell r="DJ206">
            <v>1402</v>
          </cell>
          <cell r="DK206">
            <v>1442</v>
          </cell>
          <cell r="DL206">
            <v>1468</v>
          </cell>
          <cell r="DM206">
            <v>1494</v>
          </cell>
          <cell r="DN206">
            <v>1520</v>
          </cell>
          <cell r="DO206">
            <v>1547</v>
          </cell>
          <cell r="DP206">
            <v>1573</v>
          </cell>
          <cell r="DQ206">
            <v>1599</v>
          </cell>
          <cell r="DR206">
            <v>1625</v>
          </cell>
          <cell r="DS206">
            <v>1651</v>
          </cell>
          <cell r="DT206">
            <v>1677</v>
          </cell>
          <cell r="DU206">
            <v>1703</v>
          </cell>
          <cell r="DV206">
            <v>1729</v>
          </cell>
          <cell r="DW206">
            <v>1756</v>
          </cell>
          <cell r="DX206">
            <v>1782</v>
          </cell>
          <cell r="DY206">
            <v>1808</v>
          </cell>
          <cell r="DZ206">
            <v>1834</v>
          </cell>
          <cell r="EA206">
            <v>1860</v>
          </cell>
          <cell r="EB206">
            <v>1886</v>
          </cell>
          <cell r="EC206">
            <v>1912</v>
          </cell>
          <cell r="ED206">
            <v>1938</v>
          </cell>
          <cell r="EE206">
            <v>1964</v>
          </cell>
          <cell r="EF206">
            <v>1991</v>
          </cell>
          <cell r="EG206">
            <v>2017</v>
          </cell>
          <cell r="EH206">
            <v>2043</v>
          </cell>
          <cell r="EI206">
            <v>2069</v>
          </cell>
          <cell r="EJ206">
            <v>2095</v>
          </cell>
          <cell r="EK206">
            <v>2121</v>
          </cell>
          <cell r="EL206">
            <v>2147</v>
          </cell>
          <cell r="EM206">
            <v>2173</v>
          </cell>
          <cell r="EN206">
            <v>2200</v>
          </cell>
          <cell r="EO206">
            <v>2226</v>
          </cell>
          <cell r="EP206">
            <v>2252</v>
          </cell>
          <cell r="EQ206">
            <v>2278</v>
          </cell>
          <cell r="ER206">
            <v>2304</v>
          </cell>
          <cell r="ES206">
            <v>2330</v>
          </cell>
          <cell r="ET206">
            <v>2356</v>
          </cell>
          <cell r="EU206">
            <v>2382</v>
          </cell>
          <cell r="EV206">
            <v>2409</v>
          </cell>
          <cell r="EW206">
            <v>2435</v>
          </cell>
          <cell r="EX206">
            <v>2461</v>
          </cell>
          <cell r="EY206">
            <v>2487</v>
          </cell>
          <cell r="EZ206">
            <v>2513</v>
          </cell>
          <cell r="FA206">
            <v>2539</v>
          </cell>
          <cell r="FB206">
            <v>2565</v>
          </cell>
          <cell r="FC206">
            <v>2591</v>
          </cell>
          <cell r="FD206">
            <v>2617</v>
          </cell>
          <cell r="FE206">
            <v>2644</v>
          </cell>
          <cell r="FF206">
            <v>2670</v>
          </cell>
          <cell r="FG206">
            <v>2696</v>
          </cell>
          <cell r="FH206">
            <v>2722</v>
          </cell>
          <cell r="FI206">
            <v>2748</v>
          </cell>
          <cell r="FJ206">
            <v>2774</v>
          </cell>
          <cell r="FK206">
            <v>2800</v>
          </cell>
          <cell r="FL206">
            <v>2825</v>
          </cell>
          <cell r="FM206">
            <v>2851</v>
          </cell>
          <cell r="FN206">
            <v>2877</v>
          </cell>
          <cell r="FO206">
            <v>2903</v>
          </cell>
          <cell r="FP206">
            <v>2929</v>
          </cell>
          <cell r="FQ206">
            <v>2954</v>
          </cell>
          <cell r="FR206">
            <v>2980</v>
          </cell>
          <cell r="FS206">
            <v>3006</v>
          </cell>
          <cell r="FT206">
            <v>3032</v>
          </cell>
          <cell r="FU206">
            <v>3058</v>
          </cell>
          <cell r="FV206">
            <v>3083</v>
          </cell>
          <cell r="FW206">
            <v>3109</v>
          </cell>
          <cell r="FX206">
            <v>3135</v>
          </cell>
          <cell r="FY206">
            <v>3161</v>
          </cell>
          <cell r="FZ206">
            <v>3187</v>
          </cell>
          <cell r="GA206">
            <v>3212</v>
          </cell>
          <cell r="GB206">
            <v>3238</v>
          </cell>
          <cell r="GC206">
            <v>3264</v>
          </cell>
          <cell r="GD206">
            <v>3290</v>
          </cell>
          <cell r="GE206">
            <v>3316</v>
          </cell>
          <cell r="GF206">
            <v>3341</v>
          </cell>
          <cell r="GG206">
            <v>3367</v>
          </cell>
          <cell r="GH206">
            <v>3393</v>
          </cell>
          <cell r="GI206">
            <v>3419</v>
          </cell>
          <cell r="GJ206">
            <v>3445</v>
          </cell>
          <cell r="GK206">
            <v>3470</v>
          </cell>
          <cell r="GL206">
            <v>3496</v>
          </cell>
          <cell r="GM206">
            <v>3522</v>
          </cell>
          <cell r="GN206">
            <v>3548</v>
          </cell>
          <cell r="GO206">
            <v>3574</v>
          </cell>
          <cell r="GP206">
            <v>3599</v>
          </cell>
          <cell r="GQ206">
            <v>3625</v>
          </cell>
          <cell r="GR206">
            <v>3651</v>
          </cell>
          <cell r="GS206">
            <v>3677</v>
          </cell>
          <cell r="GT206">
            <v>3703</v>
          </cell>
          <cell r="GU206">
            <v>3728</v>
          </cell>
          <cell r="GV206">
            <v>3754</v>
          </cell>
          <cell r="GW206">
            <v>3780</v>
          </cell>
          <cell r="GX206">
            <v>3806</v>
          </cell>
          <cell r="GY206">
            <v>3832</v>
          </cell>
          <cell r="GZ206">
            <v>3857</v>
          </cell>
          <cell r="HA206">
            <v>3883</v>
          </cell>
          <cell r="HB206">
            <v>3909</v>
          </cell>
          <cell r="HC206">
            <v>3935</v>
          </cell>
          <cell r="HD206">
            <v>3961</v>
          </cell>
          <cell r="HE206">
            <v>3986</v>
          </cell>
          <cell r="HF206">
            <v>4012</v>
          </cell>
        </row>
        <row r="221">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Q221">
            <v>0</v>
          </cell>
          <cell r="DR221">
            <v>0</v>
          </cell>
          <cell r="DS221">
            <v>0</v>
          </cell>
          <cell r="DT221">
            <v>0</v>
          </cell>
          <cell r="DU221">
            <v>0</v>
          </cell>
          <cell r="DV221">
            <v>0</v>
          </cell>
          <cell r="DW221">
            <v>0</v>
          </cell>
          <cell r="DX221">
            <v>0</v>
          </cell>
          <cell r="DY221">
            <v>0</v>
          </cell>
          <cell r="DZ221">
            <v>0</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FI221">
            <v>0</v>
          </cell>
          <cell r="FJ221">
            <v>0</v>
          </cell>
          <cell r="FK221">
            <v>0</v>
          </cell>
          <cell r="FL221">
            <v>0</v>
          </cell>
          <cell r="FM221">
            <v>0</v>
          </cell>
          <cell r="FN221">
            <v>0</v>
          </cell>
          <cell r="FO221">
            <v>0</v>
          </cell>
          <cell r="FP221">
            <v>0</v>
          </cell>
          <cell r="FQ221">
            <v>0</v>
          </cell>
          <cell r="FR221">
            <v>0</v>
          </cell>
          <cell r="FS221">
            <v>0</v>
          </cell>
          <cell r="FT221">
            <v>0</v>
          </cell>
          <cell r="FU221">
            <v>0</v>
          </cell>
          <cell r="FV221">
            <v>0</v>
          </cell>
          <cell r="FW221">
            <v>0</v>
          </cell>
          <cell r="FX221">
            <v>0</v>
          </cell>
          <cell r="FY221">
            <v>0</v>
          </cell>
          <cell r="FZ221">
            <v>0</v>
          </cell>
          <cell r="GA221">
            <v>0</v>
          </cell>
          <cell r="GB221">
            <v>0</v>
          </cell>
          <cell r="GC221">
            <v>0</v>
          </cell>
          <cell r="GD221">
            <v>0</v>
          </cell>
          <cell r="GE221">
            <v>0</v>
          </cell>
          <cell r="GF221">
            <v>0</v>
          </cell>
          <cell r="GG221">
            <v>0</v>
          </cell>
          <cell r="GH221">
            <v>0</v>
          </cell>
          <cell r="GI221">
            <v>0</v>
          </cell>
          <cell r="GJ221">
            <v>0</v>
          </cell>
          <cell r="GK221">
            <v>0</v>
          </cell>
          <cell r="GL221">
            <v>0</v>
          </cell>
          <cell r="GM221">
            <v>0</v>
          </cell>
          <cell r="GN221">
            <v>0</v>
          </cell>
          <cell r="GO221">
            <v>0</v>
          </cell>
          <cell r="GP221">
            <v>0</v>
          </cell>
          <cell r="GQ221">
            <v>0</v>
          </cell>
          <cell r="GR221">
            <v>0</v>
          </cell>
          <cell r="GS221">
            <v>0</v>
          </cell>
          <cell r="GT221">
            <v>0</v>
          </cell>
          <cell r="GU221">
            <v>0</v>
          </cell>
          <cell r="GV221">
            <v>0</v>
          </cell>
          <cell r="GW221">
            <v>0</v>
          </cell>
          <cell r="GX221">
            <v>0</v>
          </cell>
          <cell r="GY221">
            <v>0</v>
          </cell>
          <cell r="GZ221">
            <v>0</v>
          </cell>
          <cell r="HA221">
            <v>0</v>
          </cell>
          <cell r="HB221">
            <v>0</v>
          </cell>
          <cell r="HC221">
            <v>0</v>
          </cell>
          <cell r="HD221">
            <v>0</v>
          </cell>
          <cell r="HE221">
            <v>0</v>
          </cell>
          <cell r="HF221">
            <v>0</v>
          </cell>
        </row>
        <row r="267">
          <cell r="N267">
            <v>3504</v>
          </cell>
          <cell r="O267">
            <v>3504</v>
          </cell>
          <cell r="P267">
            <v>3504</v>
          </cell>
          <cell r="Q267">
            <v>3491</v>
          </cell>
          <cell r="R267">
            <v>3380</v>
          </cell>
          <cell r="S267">
            <v>3269</v>
          </cell>
          <cell r="T267">
            <v>3158</v>
          </cell>
          <cell r="U267">
            <v>3046</v>
          </cell>
          <cell r="V267">
            <v>2935</v>
          </cell>
          <cell r="W267">
            <v>2824</v>
          </cell>
          <cell r="X267">
            <v>2713</v>
          </cell>
          <cell r="Y267">
            <v>2602</v>
          </cell>
          <cell r="Z267">
            <v>2491</v>
          </cell>
          <cell r="AA267">
            <v>2380</v>
          </cell>
          <cell r="AB267">
            <v>2269</v>
          </cell>
          <cell r="AC267">
            <v>2158</v>
          </cell>
          <cell r="AD267">
            <v>2047</v>
          </cell>
          <cell r="AE267">
            <v>1936</v>
          </cell>
          <cell r="AF267">
            <v>1825</v>
          </cell>
          <cell r="AG267">
            <v>1714</v>
          </cell>
          <cell r="AH267">
            <v>1603</v>
          </cell>
          <cell r="AI267">
            <v>1492</v>
          </cell>
          <cell r="AJ267">
            <v>1381</v>
          </cell>
          <cell r="AK267">
            <v>1270</v>
          </cell>
          <cell r="AL267">
            <v>1159</v>
          </cell>
          <cell r="AM267">
            <v>1047</v>
          </cell>
          <cell r="AN267">
            <v>936</v>
          </cell>
          <cell r="AO267">
            <v>825</v>
          </cell>
          <cell r="AP267">
            <v>714</v>
          </cell>
          <cell r="AQ267">
            <v>603</v>
          </cell>
          <cell r="AR267">
            <v>492</v>
          </cell>
          <cell r="AS267">
            <v>381</v>
          </cell>
          <cell r="AT267">
            <v>270</v>
          </cell>
          <cell r="AU267">
            <v>159</v>
          </cell>
          <cell r="AV267">
            <v>48</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cell r="EP267">
            <v>0</v>
          </cell>
          <cell r="EQ267">
            <v>0</v>
          </cell>
          <cell r="ER267">
            <v>0</v>
          </cell>
          <cell r="ES267">
            <v>0</v>
          </cell>
          <cell r="ET267">
            <v>0</v>
          </cell>
          <cell r="EU267">
            <v>0</v>
          </cell>
          <cell r="EV267">
            <v>0</v>
          </cell>
          <cell r="EW267">
            <v>0</v>
          </cell>
          <cell r="EX267">
            <v>0</v>
          </cell>
          <cell r="EY267">
            <v>0</v>
          </cell>
          <cell r="EZ267">
            <v>0</v>
          </cell>
          <cell r="FA267">
            <v>0</v>
          </cell>
          <cell r="FB267">
            <v>0</v>
          </cell>
          <cell r="FC267">
            <v>0</v>
          </cell>
          <cell r="FD267">
            <v>0</v>
          </cell>
          <cell r="FE267">
            <v>0</v>
          </cell>
          <cell r="FF267">
            <v>0</v>
          </cell>
          <cell r="FG267">
            <v>0</v>
          </cell>
          <cell r="FH267">
            <v>0</v>
          </cell>
          <cell r="FI267">
            <v>0</v>
          </cell>
          <cell r="FJ267">
            <v>0</v>
          </cell>
          <cell r="FK267">
            <v>0</v>
          </cell>
          <cell r="FL267">
            <v>0</v>
          </cell>
          <cell r="FM267">
            <v>0</v>
          </cell>
          <cell r="FN267">
            <v>0</v>
          </cell>
          <cell r="FO267">
            <v>0</v>
          </cell>
          <cell r="FP267">
            <v>0</v>
          </cell>
          <cell r="FQ267">
            <v>0</v>
          </cell>
          <cell r="FR267">
            <v>0</v>
          </cell>
          <cell r="FS267">
            <v>0</v>
          </cell>
          <cell r="FT267">
            <v>0</v>
          </cell>
          <cell r="FU267">
            <v>0</v>
          </cell>
          <cell r="FV267">
            <v>0</v>
          </cell>
          <cell r="FW267">
            <v>0</v>
          </cell>
          <cell r="FX267">
            <v>0</v>
          </cell>
          <cell r="FY267">
            <v>0</v>
          </cell>
          <cell r="FZ267">
            <v>0</v>
          </cell>
          <cell r="GA267">
            <v>0</v>
          </cell>
          <cell r="GB267">
            <v>0</v>
          </cell>
          <cell r="GC267">
            <v>0</v>
          </cell>
          <cell r="GD267">
            <v>0</v>
          </cell>
          <cell r="GE267">
            <v>0</v>
          </cell>
          <cell r="GF267">
            <v>0</v>
          </cell>
          <cell r="GG267">
            <v>0</v>
          </cell>
          <cell r="GH267">
            <v>0</v>
          </cell>
          <cell r="GI267">
            <v>0</v>
          </cell>
          <cell r="GJ267">
            <v>0</v>
          </cell>
          <cell r="GK267">
            <v>0</v>
          </cell>
          <cell r="GL267">
            <v>0</v>
          </cell>
          <cell r="GM267">
            <v>0</v>
          </cell>
          <cell r="GN267">
            <v>0</v>
          </cell>
          <cell r="GO267">
            <v>0</v>
          </cell>
          <cell r="GP267">
            <v>0</v>
          </cell>
          <cell r="GQ267">
            <v>0</v>
          </cell>
          <cell r="GR267">
            <v>0</v>
          </cell>
          <cell r="GS267">
            <v>0</v>
          </cell>
          <cell r="GT267">
            <v>0</v>
          </cell>
          <cell r="GU267">
            <v>0</v>
          </cell>
          <cell r="GV267">
            <v>0</v>
          </cell>
          <cell r="GW267">
            <v>0</v>
          </cell>
          <cell r="GX267">
            <v>0</v>
          </cell>
          <cell r="GY267">
            <v>0</v>
          </cell>
          <cell r="GZ267">
            <v>0</v>
          </cell>
          <cell r="HA267">
            <v>0</v>
          </cell>
          <cell r="HB267">
            <v>0</v>
          </cell>
          <cell r="HC267">
            <v>0</v>
          </cell>
          <cell r="HD267">
            <v>0</v>
          </cell>
          <cell r="HE267">
            <v>0</v>
          </cell>
          <cell r="HF267">
            <v>0</v>
          </cell>
        </row>
        <row r="280">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0</v>
          </cell>
          <cell r="DR280">
            <v>0</v>
          </cell>
          <cell r="DS280">
            <v>0</v>
          </cell>
          <cell r="DT280">
            <v>0</v>
          </cell>
          <cell r="DU280">
            <v>0</v>
          </cell>
          <cell r="DV280">
            <v>0</v>
          </cell>
          <cell r="DW280">
            <v>0</v>
          </cell>
          <cell r="DX280">
            <v>0</v>
          </cell>
          <cell r="DY280">
            <v>0</v>
          </cell>
          <cell r="DZ280">
            <v>0</v>
          </cell>
          <cell r="EA280">
            <v>0</v>
          </cell>
          <cell r="EB280">
            <v>0</v>
          </cell>
          <cell r="EC280">
            <v>0</v>
          </cell>
          <cell r="ED280">
            <v>0</v>
          </cell>
          <cell r="EE280">
            <v>0</v>
          </cell>
          <cell r="EF280">
            <v>0</v>
          </cell>
          <cell r="EG280">
            <v>0</v>
          </cell>
          <cell r="EH280">
            <v>0</v>
          </cell>
          <cell r="EI280">
            <v>0</v>
          </cell>
          <cell r="EJ280">
            <v>0</v>
          </cell>
          <cell r="EK280">
            <v>0</v>
          </cell>
          <cell r="EL280">
            <v>0</v>
          </cell>
          <cell r="EM280">
            <v>0</v>
          </cell>
          <cell r="EN280">
            <v>0</v>
          </cell>
          <cell r="EO280">
            <v>0</v>
          </cell>
          <cell r="EP280">
            <v>0</v>
          </cell>
          <cell r="EQ280">
            <v>0</v>
          </cell>
          <cell r="ER280">
            <v>0</v>
          </cell>
          <cell r="ES280">
            <v>0</v>
          </cell>
          <cell r="ET280">
            <v>0</v>
          </cell>
          <cell r="EU280">
            <v>0</v>
          </cell>
          <cell r="EV280">
            <v>0</v>
          </cell>
          <cell r="EW280">
            <v>0</v>
          </cell>
          <cell r="EX280">
            <v>0</v>
          </cell>
          <cell r="EY280">
            <v>0</v>
          </cell>
          <cell r="EZ280">
            <v>0</v>
          </cell>
          <cell r="FA280">
            <v>0</v>
          </cell>
          <cell r="FB280">
            <v>0</v>
          </cell>
          <cell r="FC280">
            <v>0</v>
          </cell>
          <cell r="FD280">
            <v>0</v>
          </cell>
          <cell r="FE280">
            <v>0</v>
          </cell>
          <cell r="FF280">
            <v>0</v>
          </cell>
          <cell r="FG280">
            <v>0</v>
          </cell>
          <cell r="FH280">
            <v>0</v>
          </cell>
          <cell r="FI280">
            <v>0</v>
          </cell>
          <cell r="FJ280">
            <v>0</v>
          </cell>
          <cell r="FK280">
            <v>0</v>
          </cell>
          <cell r="FL280">
            <v>0</v>
          </cell>
          <cell r="FM280">
            <v>0</v>
          </cell>
          <cell r="FN280">
            <v>0</v>
          </cell>
          <cell r="FO280">
            <v>0</v>
          </cell>
          <cell r="FP280">
            <v>0</v>
          </cell>
          <cell r="FQ280">
            <v>0</v>
          </cell>
          <cell r="FR280">
            <v>0</v>
          </cell>
          <cell r="FS280">
            <v>0</v>
          </cell>
          <cell r="FT280">
            <v>0</v>
          </cell>
          <cell r="FU280">
            <v>0</v>
          </cell>
          <cell r="FV280">
            <v>0</v>
          </cell>
          <cell r="FW280">
            <v>0</v>
          </cell>
          <cell r="FX280">
            <v>0</v>
          </cell>
          <cell r="FY280">
            <v>0</v>
          </cell>
          <cell r="FZ280">
            <v>0</v>
          </cell>
          <cell r="GA280">
            <v>0</v>
          </cell>
          <cell r="GB280">
            <v>0</v>
          </cell>
          <cell r="GC280">
            <v>0</v>
          </cell>
          <cell r="GD280">
            <v>0</v>
          </cell>
          <cell r="GE280">
            <v>0</v>
          </cell>
          <cell r="GF280">
            <v>0</v>
          </cell>
          <cell r="GG280">
            <v>0</v>
          </cell>
          <cell r="GH280">
            <v>0</v>
          </cell>
          <cell r="GI280">
            <v>0</v>
          </cell>
          <cell r="GJ280">
            <v>0</v>
          </cell>
          <cell r="GK280">
            <v>0</v>
          </cell>
          <cell r="GL280">
            <v>0</v>
          </cell>
          <cell r="GM280">
            <v>0</v>
          </cell>
          <cell r="GN280">
            <v>0</v>
          </cell>
          <cell r="GO280">
            <v>0</v>
          </cell>
          <cell r="GP280">
            <v>0</v>
          </cell>
          <cell r="GQ280">
            <v>0</v>
          </cell>
          <cell r="GR280">
            <v>0</v>
          </cell>
          <cell r="GS280">
            <v>0</v>
          </cell>
          <cell r="GT280">
            <v>0</v>
          </cell>
          <cell r="GU280">
            <v>0</v>
          </cell>
          <cell r="GV280">
            <v>0</v>
          </cell>
          <cell r="GW280">
            <v>0</v>
          </cell>
          <cell r="GX280">
            <v>0</v>
          </cell>
          <cell r="GY280">
            <v>0</v>
          </cell>
          <cell r="GZ280">
            <v>0</v>
          </cell>
          <cell r="HA280">
            <v>0</v>
          </cell>
          <cell r="HB280">
            <v>0</v>
          </cell>
          <cell r="HC280">
            <v>0</v>
          </cell>
          <cell r="HD280">
            <v>0</v>
          </cell>
          <cell r="HE280">
            <v>0</v>
          </cell>
          <cell r="HF280">
            <v>0</v>
          </cell>
        </row>
        <row r="313">
          <cell r="N313">
            <v>7504</v>
          </cell>
          <cell r="O313">
            <v>7369</v>
          </cell>
          <cell r="P313">
            <v>7242</v>
          </cell>
          <cell r="Q313">
            <v>7127</v>
          </cell>
          <cell r="R313">
            <v>7040</v>
          </cell>
          <cell r="S313">
            <v>6953</v>
          </cell>
          <cell r="T313">
            <v>6866</v>
          </cell>
          <cell r="U313">
            <v>6780</v>
          </cell>
          <cell r="V313">
            <v>6693</v>
          </cell>
          <cell r="W313">
            <v>6607</v>
          </cell>
          <cell r="X313">
            <v>6520</v>
          </cell>
          <cell r="Y313">
            <v>6472</v>
          </cell>
          <cell r="Z313">
            <v>6385</v>
          </cell>
          <cell r="AA313">
            <v>6298</v>
          </cell>
          <cell r="AB313">
            <v>6212</v>
          </cell>
          <cell r="AC313">
            <v>6125</v>
          </cell>
          <cell r="AD313">
            <v>6054</v>
          </cell>
          <cell r="AE313">
            <v>5967</v>
          </cell>
          <cell r="AF313">
            <v>5904</v>
          </cell>
          <cell r="AG313">
            <v>5817</v>
          </cell>
          <cell r="AH313">
            <v>5754</v>
          </cell>
          <cell r="AI313">
            <v>5667</v>
          </cell>
          <cell r="AJ313">
            <v>5580</v>
          </cell>
          <cell r="AK313">
            <v>5494</v>
          </cell>
          <cell r="AL313">
            <v>5509</v>
          </cell>
          <cell r="AM313">
            <v>5423</v>
          </cell>
          <cell r="AN313">
            <v>5336</v>
          </cell>
          <cell r="AO313">
            <v>5249</v>
          </cell>
          <cell r="AP313">
            <v>5264</v>
          </cell>
          <cell r="AQ313">
            <v>5177</v>
          </cell>
          <cell r="AR313">
            <v>5255</v>
          </cell>
          <cell r="AS313">
            <v>5168</v>
          </cell>
          <cell r="AT313">
            <v>5238</v>
          </cell>
          <cell r="AU313">
            <v>5151</v>
          </cell>
          <cell r="AV313">
            <v>5065</v>
          </cell>
          <cell r="AW313">
            <v>4959</v>
          </cell>
          <cell r="AX313">
            <v>4996</v>
          </cell>
          <cell r="AY313">
            <v>4876</v>
          </cell>
          <cell r="AZ313">
            <v>4756</v>
          </cell>
          <cell r="BA313">
            <v>4636</v>
          </cell>
          <cell r="BB313">
            <v>4516</v>
          </cell>
          <cell r="BC313">
            <v>4396</v>
          </cell>
          <cell r="BD313">
            <v>4276</v>
          </cell>
          <cell r="BE313">
            <v>4156</v>
          </cell>
          <cell r="BF313">
            <v>4036</v>
          </cell>
          <cell r="BG313">
            <v>3916</v>
          </cell>
          <cell r="BH313">
            <v>3796</v>
          </cell>
          <cell r="BI313">
            <v>3676</v>
          </cell>
          <cell r="BJ313">
            <v>3556</v>
          </cell>
          <cell r="BK313">
            <v>3436</v>
          </cell>
          <cell r="BL313">
            <v>3316</v>
          </cell>
          <cell r="BM313">
            <v>3196</v>
          </cell>
          <cell r="BN313">
            <v>3076</v>
          </cell>
          <cell r="BO313">
            <v>2956</v>
          </cell>
          <cell r="BP313">
            <v>2836</v>
          </cell>
          <cell r="BQ313">
            <v>2716</v>
          </cell>
          <cell r="BR313">
            <v>2596</v>
          </cell>
          <cell r="BS313">
            <v>2476</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0</v>
          </cell>
          <cell r="EE313">
            <v>0</v>
          </cell>
          <cell r="EF313">
            <v>0</v>
          </cell>
          <cell r="EG313">
            <v>0</v>
          </cell>
          <cell r="EH313">
            <v>0</v>
          </cell>
          <cell r="EI313">
            <v>0</v>
          </cell>
          <cell r="EJ313">
            <v>0</v>
          </cell>
          <cell r="EK313">
            <v>0</v>
          </cell>
          <cell r="EL313">
            <v>0</v>
          </cell>
          <cell r="EM313">
            <v>0</v>
          </cell>
          <cell r="EN313">
            <v>0</v>
          </cell>
          <cell r="EO313">
            <v>0</v>
          </cell>
          <cell r="EP313">
            <v>0</v>
          </cell>
          <cell r="EQ313">
            <v>0</v>
          </cell>
          <cell r="ER313">
            <v>0</v>
          </cell>
          <cell r="ES313">
            <v>0</v>
          </cell>
          <cell r="ET313">
            <v>0</v>
          </cell>
          <cell r="EU313">
            <v>0</v>
          </cell>
          <cell r="EV313">
            <v>0</v>
          </cell>
          <cell r="EW313">
            <v>0</v>
          </cell>
          <cell r="EX313">
            <v>0</v>
          </cell>
          <cell r="EY313">
            <v>0</v>
          </cell>
          <cell r="EZ313">
            <v>0</v>
          </cell>
          <cell r="FA313">
            <v>0</v>
          </cell>
          <cell r="FB313">
            <v>0</v>
          </cell>
          <cell r="FC313">
            <v>0</v>
          </cell>
          <cell r="FD313">
            <v>0</v>
          </cell>
          <cell r="FE313">
            <v>0</v>
          </cell>
          <cell r="FF313">
            <v>0</v>
          </cell>
          <cell r="FG313">
            <v>0</v>
          </cell>
          <cell r="FH313">
            <v>0</v>
          </cell>
          <cell r="FI313">
            <v>0</v>
          </cell>
          <cell r="FJ313">
            <v>0</v>
          </cell>
          <cell r="FK313">
            <v>0</v>
          </cell>
          <cell r="FL313">
            <v>0</v>
          </cell>
          <cell r="FM313">
            <v>0</v>
          </cell>
          <cell r="FN313">
            <v>0</v>
          </cell>
          <cell r="FO313">
            <v>0</v>
          </cell>
          <cell r="FP313">
            <v>0</v>
          </cell>
          <cell r="FQ313">
            <v>0</v>
          </cell>
          <cell r="FR313">
            <v>0</v>
          </cell>
          <cell r="FS313">
            <v>0</v>
          </cell>
          <cell r="FT313">
            <v>0</v>
          </cell>
          <cell r="FU313">
            <v>0</v>
          </cell>
          <cell r="FV313">
            <v>0</v>
          </cell>
          <cell r="FW313">
            <v>0</v>
          </cell>
          <cell r="FX313">
            <v>0</v>
          </cell>
          <cell r="FY313">
            <v>0</v>
          </cell>
          <cell r="FZ313">
            <v>0</v>
          </cell>
          <cell r="GA313">
            <v>0</v>
          </cell>
          <cell r="GB313">
            <v>0</v>
          </cell>
          <cell r="GC313">
            <v>0</v>
          </cell>
          <cell r="GD313">
            <v>0</v>
          </cell>
          <cell r="GE313">
            <v>0</v>
          </cell>
          <cell r="GF313">
            <v>0</v>
          </cell>
          <cell r="GG313">
            <v>0</v>
          </cell>
          <cell r="GH313">
            <v>0</v>
          </cell>
          <cell r="GI313">
            <v>0</v>
          </cell>
          <cell r="GJ313">
            <v>0</v>
          </cell>
          <cell r="GK313">
            <v>0</v>
          </cell>
          <cell r="GL313">
            <v>0</v>
          </cell>
          <cell r="GM313">
            <v>0</v>
          </cell>
          <cell r="GN313">
            <v>0</v>
          </cell>
          <cell r="GO313">
            <v>0</v>
          </cell>
          <cell r="GP313">
            <v>0</v>
          </cell>
          <cell r="GQ313">
            <v>0</v>
          </cell>
          <cell r="GR313">
            <v>0</v>
          </cell>
          <cell r="GS313">
            <v>0</v>
          </cell>
          <cell r="GT313">
            <v>0</v>
          </cell>
          <cell r="GU313">
            <v>0</v>
          </cell>
          <cell r="GV313">
            <v>0</v>
          </cell>
          <cell r="GW313">
            <v>0</v>
          </cell>
          <cell r="GX313">
            <v>0</v>
          </cell>
          <cell r="GY313">
            <v>0</v>
          </cell>
          <cell r="GZ313">
            <v>0</v>
          </cell>
          <cell r="HA313">
            <v>0</v>
          </cell>
          <cell r="HB313">
            <v>0</v>
          </cell>
          <cell r="HC313">
            <v>0</v>
          </cell>
          <cell r="HD313">
            <v>0</v>
          </cell>
          <cell r="HE313">
            <v>0</v>
          </cell>
          <cell r="HF313">
            <v>0</v>
          </cell>
        </row>
        <row r="335">
          <cell r="N335">
            <v>460</v>
          </cell>
          <cell r="O335">
            <v>460</v>
          </cell>
          <cell r="P335">
            <v>460</v>
          </cell>
          <cell r="Q335">
            <v>460</v>
          </cell>
          <cell r="R335">
            <v>460</v>
          </cell>
          <cell r="S335">
            <v>460</v>
          </cell>
          <cell r="T335">
            <v>460</v>
          </cell>
          <cell r="U335">
            <v>460</v>
          </cell>
          <cell r="V335">
            <v>460</v>
          </cell>
          <cell r="W335">
            <v>460</v>
          </cell>
          <cell r="X335">
            <v>460</v>
          </cell>
          <cell r="Y335">
            <v>460</v>
          </cell>
          <cell r="Z335">
            <v>460</v>
          </cell>
          <cell r="AA335">
            <v>460</v>
          </cell>
          <cell r="AB335">
            <v>460</v>
          </cell>
          <cell r="AC335">
            <v>460</v>
          </cell>
          <cell r="AD335">
            <v>460</v>
          </cell>
          <cell r="AE335">
            <v>460</v>
          </cell>
          <cell r="AF335">
            <v>460</v>
          </cell>
          <cell r="AG335">
            <v>460</v>
          </cell>
          <cell r="AH335">
            <v>460</v>
          </cell>
          <cell r="AI335">
            <v>460</v>
          </cell>
          <cell r="AJ335">
            <v>460</v>
          </cell>
          <cell r="AK335">
            <v>460</v>
          </cell>
          <cell r="AL335">
            <v>460</v>
          </cell>
          <cell r="AM335">
            <v>460</v>
          </cell>
          <cell r="AN335">
            <v>460</v>
          </cell>
          <cell r="AO335">
            <v>460</v>
          </cell>
          <cell r="AP335">
            <v>460</v>
          </cell>
          <cell r="AQ335">
            <v>460</v>
          </cell>
          <cell r="AR335">
            <v>460</v>
          </cell>
          <cell r="AS335">
            <v>460</v>
          </cell>
          <cell r="AT335">
            <v>460</v>
          </cell>
          <cell r="AU335">
            <v>460</v>
          </cell>
          <cell r="AV335">
            <v>460</v>
          </cell>
          <cell r="AW335">
            <v>460</v>
          </cell>
          <cell r="AX335">
            <v>460</v>
          </cell>
          <cell r="AY335">
            <v>460</v>
          </cell>
          <cell r="AZ335">
            <v>460</v>
          </cell>
          <cell r="BA335">
            <v>460</v>
          </cell>
          <cell r="BB335">
            <v>460</v>
          </cell>
          <cell r="BC335">
            <v>460</v>
          </cell>
          <cell r="BD335">
            <v>460</v>
          </cell>
          <cell r="BE335">
            <v>460</v>
          </cell>
          <cell r="BF335">
            <v>460</v>
          </cell>
          <cell r="BG335">
            <v>460</v>
          </cell>
          <cell r="BH335">
            <v>460</v>
          </cell>
          <cell r="BI335">
            <v>460</v>
          </cell>
          <cell r="BJ335">
            <v>460</v>
          </cell>
          <cell r="BK335">
            <v>460</v>
          </cell>
          <cell r="BL335">
            <v>460</v>
          </cell>
          <cell r="BM335">
            <v>460</v>
          </cell>
          <cell r="BN335">
            <v>460</v>
          </cell>
          <cell r="BO335">
            <v>460</v>
          </cell>
          <cell r="BP335">
            <v>460</v>
          </cell>
          <cell r="BQ335">
            <v>460</v>
          </cell>
          <cell r="BR335">
            <v>460</v>
          </cell>
          <cell r="BS335">
            <v>460</v>
          </cell>
          <cell r="BT335">
            <v>460</v>
          </cell>
          <cell r="BU335">
            <v>460</v>
          </cell>
          <cell r="BV335">
            <v>460</v>
          </cell>
          <cell r="BW335">
            <v>460</v>
          </cell>
          <cell r="BX335">
            <v>460</v>
          </cell>
          <cell r="BY335">
            <v>460</v>
          </cell>
          <cell r="BZ335">
            <v>460</v>
          </cell>
          <cell r="CA335">
            <v>460</v>
          </cell>
          <cell r="CB335">
            <v>460</v>
          </cell>
          <cell r="CC335">
            <v>460</v>
          </cell>
          <cell r="CD335">
            <v>460</v>
          </cell>
          <cell r="CE335">
            <v>460</v>
          </cell>
          <cell r="CF335">
            <v>460</v>
          </cell>
          <cell r="CG335">
            <v>460</v>
          </cell>
          <cell r="CH335">
            <v>460</v>
          </cell>
          <cell r="CI335">
            <v>460</v>
          </cell>
          <cell r="CJ335">
            <v>460</v>
          </cell>
          <cell r="CK335">
            <v>460</v>
          </cell>
          <cell r="CL335">
            <v>460</v>
          </cell>
          <cell r="CM335">
            <v>460</v>
          </cell>
          <cell r="CN335">
            <v>460</v>
          </cell>
          <cell r="CO335">
            <v>460</v>
          </cell>
          <cell r="CP335">
            <v>460</v>
          </cell>
          <cell r="CQ335">
            <v>460</v>
          </cell>
          <cell r="CR335">
            <v>460</v>
          </cell>
          <cell r="CS335">
            <v>460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Q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cell r="EI335">
            <v>0</v>
          </cell>
          <cell r="EJ335">
            <v>0</v>
          </cell>
          <cell r="EK335">
            <v>0</v>
          </cell>
          <cell r="EL335">
            <v>0</v>
          </cell>
          <cell r="EM335">
            <v>0</v>
          </cell>
          <cell r="EN335">
            <v>0</v>
          </cell>
          <cell r="EO335">
            <v>0</v>
          </cell>
          <cell r="EP335">
            <v>0</v>
          </cell>
          <cell r="EQ335">
            <v>0</v>
          </cell>
          <cell r="ER335">
            <v>0</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FI335">
            <v>0</v>
          </cell>
          <cell r="FJ335">
            <v>0</v>
          </cell>
          <cell r="FK335">
            <v>0</v>
          </cell>
          <cell r="FL335">
            <v>0</v>
          </cell>
          <cell r="FM335">
            <v>0</v>
          </cell>
          <cell r="FN335">
            <v>0</v>
          </cell>
          <cell r="FO335">
            <v>0</v>
          </cell>
          <cell r="FP335">
            <v>0</v>
          </cell>
          <cell r="FQ335">
            <v>0</v>
          </cell>
          <cell r="FR335">
            <v>0</v>
          </cell>
          <cell r="FS335">
            <v>0</v>
          </cell>
          <cell r="FT335">
            <v>0</v>
          </cell>
          <cell r="FU335">
            <v>0</v>
          </cell>
          <cell r="FV335">
            <v>0</v>
          </cell>
          <cell r="FW335">
            <v>0</v>
          </cell>
          <cell r="FX335">
            <v>0</v>
          </cell>
          <cell r="FY335">
            <v>0</v>
          </cell>
          <cell r="FZ335">
            <v>0</v>
          </cell>
          <cell r="GA335">
            <v>0</v>
          </cell>
          <cell r="GB335">
            <v>0</v>
          </cell>
          <cell r="GC335">
            <v>0</v>
          </cell>
          <cell r="GD335">
            <v>0</v>
          </cell>
          <cell r="GE335">
            <v>0</v>
          </cell>
          <cell r="GF335">
            <v>0</v>
          </cell>
          <cell r="GG335">
            <v>0</v>
          </cell>
          <cell r="GH335">
            <v>0</v>
          </cell>
          <cell r="GI335">
            <v>0</v>
          </cell>
          <cell r="GJ335">
            <v>0</v>
          </cell>
          <cell r="GK335">
            <v>0</v>
          </cell>
          <cell r="GL335">
            <v>0</v>
          </cell>
          <cell r="GM335">
            <v>0</v>
          </cell>
          <cell r="GN335">
            <v>0</v>
          </cell>
          <cell r="GO335">
            <v>0</v>
          </cell>
          <cell r="GP335">
            <v>0</v>
          </cell>
          <cell r="GQ335">
            <v>0</v>
          </cell>
          <cell r="GR335">
            <v>0</v>
          </cell>
          <cell r="GS335">
            <v>0</v>
          </cell>
          <cell r="GT335">
            <v>0</v>
          </cell>
          <cell r="GU335">
            <v>0</v>
          </cell>
          <cell r="GV335">
            <v>0</v>
          </cell>
          <cell r="GW335">
            <v>0</v>
          </cell>
          <cell r="GX335">
            <v>0</v>
          </cell>
          <cell r="GY335">
            <v>0</v>
          </cell>
          <cell r="GZ335">
            <v>0</v>
          </cell>
          <cell r="HA335">
            <v>0</v>
          </cell>
          <cell r="HB335">
            <v>0</v>
          </cell>
          <cell r="HC335">
            <v>0</v>
          </cell>
          <cell r="HD335">
            <v>0</v>
          </cell>
          <cell r="HE335">
            <v>0</v>
          </cell>
          <cell r="HF335">
            <v>0</v>
          </cell>
        </row>
        <row r="346">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cell r="BM346">
            <v>0</v>
          </cell>
          <cell r="BN346">
            <v>0</v>
          </cell>
          <cell r="BO346">
            <v>0</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v>0</v>
          </cell>
          <cell r="DU346">
            <v>0</v>
          </cell>
          <cell r="DV346">
            <v>0</v>
          </cell>
          <cell r="DW346">
            <v>0</v>
          </cell>
          <cell r="DX346">
            <v>0</v>
          </cell>
          <cell r="DY346">
            <v>0</v>
          </cell>
          <cell r="DZ346">
            <v>0</v>
          </cell>
          <cell r="EA346">
            <v>0</v>
          </cell>
          <cell r="EB346">
            <v>0</v>
          </cell>
          <cell r="EC346">
            <v>0</v>
          </cell>
          <cell r="ED346">
            <v>0</v>
          </cell>
          <cell r="EE346">
            <v>0</v>
          </cell>
          <cell r="EF346">
            <v>0</v>
          </cell>
          <cell r="EG346">
            <v>0</v>
          </cell>
          <cell r="EH346">
            <v>0</v>
          </cell>
          <cell r="EI346">
            <v>0</v>
          </cell>
          <cell r="EJ346">
            <v>0</v>
          </cell>
          <cell r="EK346">
            <v>0</v>
          </cell>
          <cell r="EL346">
            <v>0</v>
          </cell>
          <cell r="EM346">
            <v>0</v>
          </cell>
          <cell r="EN346">
            <v>0</v>
          </cell>
          <cell r="EO346">
            <v>0</v>
          </cell>
          <cell r="EP346">
            <v>0</v>
          </cell>
          <cell r="EQ346">
            <v>0</v>
          </cell>
          <cell r="ER346">
            <v>0</v>
          </cell>
          <cell r="ES346">
            <v>0</v>
          </cell>
          <cell r="ET346">
            <v>0</v>
          </cell>
          <cell r="EU346">
            <v>0</v>
          </cell>
          <cell r="EV346">
            <v>0</v>
          </cell>
          <cell r="EW346">
            <v>0</v>
          </cell>
          <cell r="EX346">
            <v>0</v>
          </cell>
          <cell r="EY346">
            <v>0</v>
          </cell>
          <cell r="EZ346">
            <v>0</v>
          </cell>
          <cell r="FA346">
            <v>0</v>
          </cell>
          <cell r="FB346">
            <v>0</v>
          </cell>
          <cell r="FC346">
            <v>0</v>
          </cell>
          <cell r="FD346">
            <v>0</v>
          </cell>
          <cell r="FE346">
            <v>0</v>
          </cell>
          <cell r="FF346">
            <v>0</v>
          </cell>
          <cell r="FG346">
            <v>0</v>
          </cell>
          <cell r="FH346">
            <v>0</v>
          </cell>
          <cell r="FI346">
            <v>0</v>
          </cell>
          <cell r="FJ346">
            <v>0</v>
          </cell>
          <cell r="FK346">
            <v>0</v>
          </cell>
          <cell r="FL346">
            <v>0</v>
          </cell>
          <cell r="FM346">
            <v>0</v>
          </cell>
          <cell r="FN346">
            <v>0</v>
          </cell>
          <cell r="FO346">
            <v>0</v>
          </cell>
          <cell r="FP346">
            <v>0</v>
          </cell>
          <cell r="FQ346">
            <v>0</v>
          </cell>
          <cell r="FR346">
            <v>0</v>
          </cell>
          <cell r="FS346">
            <v>0</v>
          </cell>
          <cell r="FT346">
            <v>0</v>
          </cell>
          <cell r="FU346">
            <v>0</v>
          </cell>
          <cell r="FV346">
            <v>0</v>
          </cell>
          <cell r="FW346">
            <v>0</v>
          </cell>
          <cell r="FX346">
            <v>0</v>
          </cell>
          <cell r="FY346">
            <v>0</v>
          </cell>
          <cell r="FZ346">
            <v>0</v>
          </cell>
          <cell r="GA346">
            <v>0</v>
          </cell>
          <cell r="GB346">
            <v>0</v>
          </cell>
          <cell r="GC346">
            <v>0</v>
          </cell>
          <cell r="GD346">
            <v>0</v>
          </cell>
          <cell r="GE346">
            <v>0</v>
          </cell>
          <cell r="GF346">
            <v>0</v>
          </cell>
          <cell r="GG346">
            <v>0</v>
          </cell>
          <cell r="GH346">
            <v>0</v>
          </cell>
          <cell r="GI346">
            <v>0</v>
          </cell>
          <cell r="GJ346">
            <v>0</v>
          </cell>
          <cell r="GK346">
            <v>0</v>
          </cell>
          <cell r="GL346">
            <v>0</v>
          </cell>
          <cell r="GM346">
            <v>0</v>
          </cell>
          <cell r="GN346">
            <v>0</v>
          </cell>
          <cell r="GO346">
            <v>0</v>
          </cell>
          <cell r="GP346">
            <v>0</v>
          </cell>
          <cell r="GQ346">
            <v>0</v>
          </cell>
          <cell r="GR346">
            <v>0</v>
          </cell>
          <cell r="GS346">
            <v>0</v>
          </cell>
          <cell r="GT346">
            <v>0</v>
          </cell>
          <cell r="GU346">
            <v>0</v>
          </cell>
          <cell r="GV346">
            <v>0</v>
          </cell>
          <cell r="GW346">
            <v>0</v>
          </cell>
          <cell r="GX346">
            <v>0</v>
          </cell>
          <cell r="GY346">
            <v>0</v>
          </cell>
          <cell r="GZ346">
            <v>0</v>
          </cell>
          <cell r="HA346">
            <v>0</v>
          </cell>
          <cell r="HB346">
            <v>0</v>
          </cell>
          <cell r="HC346">
            <v>0</v>
          </cell>
          <cell r="HD346">
            <v>0</v>
          </cell>
          <cell r="HE346">
            <v>0</v>
          </cell>
          <cell r="HF346">
            <v>0</v>
          </cell>
        </row>
        <row r="375">
          <cell r="N375">
            <v>17884</v>
          </cell>
          <cell r="O375">
            <v>17884</v>
          </cell>
          <cell r="P375">
            <v>17884</v>
          </cell>
          <cell r="Q375">
            <v>17884</v>
          </cell>
          <cell r="R375">
            <v>17884</v>
          </cell>
          <cell r="S375">
            <v>17884</v>
          </cell>
          <cell r="T375">
            <v>17884</v>
          </cell>
          <cell r="U375">
            <v>17884</v>
          </cell>
          <cell r="V375">
            <v>17884</v>
          </cell>
          <cell r="W375">
            <v>17884</v>
          </cell>
          <cell r="X375">
            <v>17884</v>
          </cell>
          <cell r="Y375">
            <v>17884</v>
          </cell>
          <cell r="Z375">
            <v>17884</v>
          </cell>
          <cell r="AA375">
            <v>17884</v>
          </cell>
          <cell r="AB375">
            <v>17884</v>
          </cell>
          <cell r="AC375">
            <v>17884</v>
          </cell>
          <cell r="AD375">
            <v>17884</v>
          </cell>
          <cell r="AE375">
            <v>17884</v>
          </cell>
          <cell r="AF375">
            <v>17884</v>
          </cell>
          <cell r="AG375">
            <v>17884</v>
          </cell>
          <cell r="AH375">
            <v>17884</v>
          </cell>
          <cell r="AI375">
            <v>17884</v>
          </cell>
          <cell r="AJ375">
            <v>17884</v>
          </cell>
          <cell r="AK375">
            <v>17884</v>
          </cell>
          <cell r="AL375">
            <v>17884</v>
          </cell>
          <cell r="AM375">
            <v>17884</v>
          </cell>
          <cell r="AN375">
            <v>17884</v>
          </cell>
          <cell r="AO375">
            <v>17884</v>
          </cell>
          <cell r="AP375">
            <v>17884</v>
          </cell>
          <cell r="AQ375">
            <v>17884</v>
          </cell>
          <cell r="AR375">
            <v>17884</v>
          </cell>
          <cell r="AS375">
            <v>17884</v>
          </cell>
          <cell r="AT375">
            <v>17884</v>
          </cell>
          <cell r="AU375">
            <v>17884</v>
          </cell>
          <cell r="AV375">
            <v>17884</v>
          </cell>
          <cell r="AW375">
            <v>17884</v>
          </cell>
          <cell r="AX375">
            <v>17884</v>
          </cell>
          <cell r="AY375">
            <v>17884</v>
          </cell>
          <cell r="AZ375">
            <v>17884</v>
          </cell>
          <cell r="BA375">
            <v>17884</v>
          </cell>
          <cell r="BB375">
            <v>17884</v>
          </cell>
          <cell r="BC375">
            <v>17884</v>
          </cell>
          <cell r="BD375">
            <v>17884</v>
          </cell>
          <cell r="BE375">
            <v>17884</v>
          </cell>
          <cell r="BF375">
            <v>17884</v>
          </cell>
          <cell r="BG375">
            <v>17884</v>
          </cell>
          <cell r="BH375">
            <v>17884</v>
          </cell>
          <cell r="BI375">
            <v>17884</v>
          </cell>
          <cell r="BJ375">
            <v>17884</v>
          </cell>
          <cell r="BK375">
            <v>17884</v>
          </cell>
          <cell r="BL375">
            <v>17884</v>
          </cell>
          <cell r="BM375">
            <v>17884</v>
          </cell>
          <cell r="BN375">
            <v>17884</v>
          </cell>
          <cell r="BO375">
            <v>17884</v>
          </cell>
          <cell r="BP375">
            <v>17884</v>
          </cell>
          <cell r="BQ375">
            <v>17884</v>
          </cell>
          <cell r="BR375">
            <v>17884</v>
          </cell>
          <cell r="BS375">
            <v>17884</v>
          </cell>
          <cell r="BT375">
            <v>17884</v>
          </cell>
          <cell r="BU375">
            <v>17884</v>
          </cell>
          <cell r="BV375">
            <v>17884</v>
          </cell>
          <cell r="BW375">
            <v>17884</v>
          </cell>
          <cell r="BX375">
            <v>17884</v>
          </cell>
          <cell r="BY375">
            <v>17884</v>
          </cell>
          <cell r="BZ375">
            <v>10390</v>
          </cell>
          <cell r="CA375">
            <v>10390</v>
          </cell>
          <cell r="CB375">
            <v>10390</v>
          </cell>
          <cell r="CC375">
            <v>10390</v>
          </cell>
          <cell r="CD375">
            <v>10390</v>
          </cell>
          <cell r="CE375">
            <v>10390</v>
          </cell>
          <cell r="CF375">
            <v>10390</v>
          </cell>
          <cell r="CG375">
            <v>10390</v>
          </cell>
          <cell r="CH375">
            <v>0</v>
          </cell>
          <cell r="CI375">
            <v>0</v>
          </cell>
          <cell r="CJ375">
            <v>0</v>
          </cell>
          <cell r="CK375">
            <v>0</v>
          </cell>
          <cell r="CL375">
            <v>0</v>
          </cell>
          <cell r="CM375">
            <v>0</v>
          </cell>
          <cell r="CN375">
            <v>0</v>
          </cell>
          <cell r="CO375">
            <v>0</v>
          </cell>
          <cell r="CP375">
            <v>0</v>
          </cell>
          <cell r="CQ375">
            <v>0</v>
          </cell>
          <cell r="CR375">
            <v>0</v>
          </cell>
          <cell r="CS375">
            <v>0</v>
          </cell>
          <cell r="CT375">
            <v>0</v>
          </cell>
          <cell r="CU375">
            <v>0</v>
          </cell>
          <cell r="CV375">
            <v>0</v>
          </cell>
          <cell r="CW375">
            <v>0</v>
          </cell>
          <cell r="CX375">
            <v>0</v>
          </cell>
          <cell r="CY375">
            <v>0</v>
          </cell>
          <cell r="CZ375">
            <v>0</v>
          </cell>
          <cell r="DA375">
            <v>0</v>
          </cell>
          <cell r="DB375">
            <v>0</v>
          </cell>
          <cell r="DC375">
            <v>0</v>
          </cell>
          <cell r="DD375">
            <v>0</v>
          </cell>
          <cell r="DE375">
            <v>0</v>
          </cell>
          <cell r="DF375">
            <v>0</v>
          </cell>
          <cell r="DG375">
            <v>0</v>
          </cell>
          <cell r="DH375">
            <v>0</v>
          </cell>
          <cell r="DI375">
            <v>0</v>
          </cell>
          <cell r="DJ375">
            <v>0</v>
          </cell>
          <cell r="DK375">
            <v>0</v>
          </cell>
          <cell r="DL375">
            <v>0</v>
          </cell>
          <cell r="DM375">
            <v>0</v>
          </cell>
          <cell r="DN375">
            <v>0</v>
          </cell>
          <cell r="DO375">
            <v>0</v>
          </cell>
          <cell r="DP375">
            <v>0</v>
          </cell>
          <cell r="DQ375">
            <v>0</v>
          </cell>
          <cell r="DR375">
            <v>0</v>
          </cell>
          <cell r="DS375">
            <v>0</v>
          </cell>
          <cell r="DT375">
            <v>0</v>
          </cell>
          <cell r="DU375">
            <v>0</v>
          </cell>
          <cell r="DV375">
            <v>0</v>
          </cell>
          <cell r="DW375">
            <v>0</v>
          </cell>
          <cell r="DX375">
            <v>0</v>
          </cell>
          <cell r="DY375">
            <v>0</v>
          </cell>
          <cell r="DZ375">
            <v>0</v>
          </cell>
          <cell r="EA375">
            <v>0</v>
          </cell>
          <cell r="EB375">
            <v>0</v>
          </cell>
          <cell r="EC375">
            <v>0</v>
          </cell>
          <cell r="ED375">
            <v>0</v>
          </cell>
          <cell r="EE375">
            <v>0</v>
          </cell>
          <cell r="EF375">
            <v>0</v>
          </cell>
          <cell r="EG375">
            <v>0</v>
          </cell>
          <cell r="EH375">
            <v>0</v>
          </cell>
          <cell r="EI375">
            <v>0</v>
          </cell>
          <cell r="EJ375">
            <v>0</v>
          </cell>
          <cell r="EK375">
            <v>0</v>
          </cell>
          <cell r="EL375">
            <v>0</v>
          </cell>
          <cell r="EM375">
            <v>0</v>
          </cell>
          <cell r="EN375">
            <v>0</v>
          </cell>
          <cell r="EO375">
            <v>0</v>
          </cell>
          <cell r="EP375">
            <v>0</v>
          </cell>
          <cell r="EQ375">
            <v>0</v>
          </cell>
          <cell r="ER375">
            <v>0</v>
          </cell>
          <cell r="ES375">
            <v>0</v>
          </cell>
          <cell r="ET375">
            <v>0</v>
          </cell>
          <cell r="EU375">
            <v>0</v>
          </cell>
          <cell r="EV375">
            <v>0</v>
          </cell>
          <cell r="EW375">
            <v>0</v>
          </cell>
          <cell r="EX375">
            <v>0</v>
          </cell>
          <cell r="EY375">
            <v>0</v>
          </cell>
          <cell r="EZ375">
            <v>0</v>
          </cell>
          <cell r="FA375">
            <v>0</v>
          </cell>
          <cell r="FB375">
            <v>0</v>
          </cell>
          <cell r="FC375">
            <v>0</v>
          </cell>
          <cell r="FD375">
            <v>0</v>
          </cell>
          <cell r="FE375">
            <v>0</v>
          </cell>
          <cell r="FF375">
            <v>0</v>
          </cell>
          <cell r="FG375">
            <v>0</v>
          </cell>
          <cell r="FH375">
            <v>0</v>
          </cell>
          <cell r="FI375">
            <v>0</v>
          </cell>
          <cell r="FJ375">
            <v>0</v>
          </cell>
          <cell r="FK375">
            <v>0</v>
          </cell>
          <cell r="FL375">
            <v>0</v>
          </cell>
          <cell r="FM375">
            <v>0</v>
          </cell>
          <cell r="FN375">
            <v>0</v>
          </cell>
          <cell r="FO375">
            <v>0</v>
          </cell>
          <cell r="FP375">
            <v>0</v>
          </cell>
          <cell r="FQ375">
            <v>0</v>
          </cell>
          <cell r="FR375">
            <v>0</v>
          </cell>
          <cell r="FS375">
            <v>0</v>
          </cell>
          <cell r="FT375">
            <v>0</v>
          </cell>
          <cell r="FU375">
            <v>0</v>
          </cell>
          <cell r="FV375">
            <v>0</v>
          </cell>
          <cell r="FW375">
            <v>0</v>
          </cell>
          <cell r="FX375">
            <v>0</v>
          </cell>
          <cell r="FY375">
            <v>0</v>
          </cell>
          <cell r="FZ375">
            <v>0</v>
          </cell>
          <cell r="GA375">
            <v>0</v>
          </cell>
          <cell r="GB375">
            <v>0</v>
          </cell>
          <cell r="GC375">
            <v>0</v>
          </cell>
          <cell r="GD375">
            <v>0</v>
          </cell>
          <cell r="GE375">
            <v>0</v>
          </cell>
          <cell r="GF375">
            <v>0</v>
          </cell>
          <cell r="GG375">
            <v>0</v>
          </cell>
          <cell r="GH375">
            <v>0</v>
          </cell>
          <cell r="GI375">
            <v>0</v>
          </cell>
          <cell r="GJ375">
            <v>0</v>
          </cell>
          <cell r="GK375">
            <v>0</v>
          </cell>
          <cell r="GL375">
            <v>0</v>
          </cell>
          <cell r="GM375">
            <v>0</v>
          </cell>
          <cell r="GN375">
            <v>0</v>
          </cell>
          <cell r="GO375">
            <v>0</v>
          </cell>
          <cell r="GP375">
            <v>0</v>
          </cell>
          <cell r="GQ375">
            <v>0</v>
          </cell>
          <cell r="GR375">
            <v>0</v>
          </cell>
          <cell r="GS375">
            <v>0</v>
          </cell>
          <cell r="GT375">
            <v>0</v>
          </cell>
          <cell r="GU375">
            <v>0</v>
          </cell>
          <cell r="GV375">
            <v>0</v>
          </cell>
          <cell r="GW375">
            <v>0</v>
          </cell>
          <cell r="GX375">
            <v>0</v>
          </cell>
          <cell r="GY375">
            <v>0</v>
          </cell>
          <cell r="GZ375">
            <v>0</v>
          </cell>
          <cell r="HA375">
            <v>0</v>
          </cell>
          <cell r="HB375">
            <v>0</v>
          </cell>
          <cell r="HC375">
            <v>0</v>
          </cell>
          <cell r="HD375">
            <v>0</v>
          </cell>
          <cell r="HE375">
            <v>0</v>
          </cell>
          <cell r="HF375">
            <v>0</v>
          </cell>
        </row>
        <row r="384">
          <cell r="D384" t="str">
            <v>Group 1</v>
          </cell>
          <cell r="G384">
            <v>-1</v>
          </cell>
        </row>
        <row r="385">
          <cell r="C385" t="str">
            <v>Group 1</v>
          </cell>
          <cell r="D385" t="str">
            <v>Group 2</v>
          </cell>
          <cell r="E385">
            <v>1.5</v>
          </cell>
          <cell r="F385">
            <v>1.55</v>
          </cell>
          <cell r="G385">
            <v>35696.5</v>
          </cell>
        </row>
        <row r="386">
          <cell r="C386" t="str">
            <v>Group 2</v>
          </cell>
          <cell r="D386" t="str">
            <v>Group 3</v>
          </cell>
          <cell r="E386">
            <v>1.85</v>
          </cell>
          <cell r="F386">
            <v>1.9000000000000001</v>
          </cell>
          <cell r="G386">
            <v>43757</v>
          </cell>
        </row>
        <row r="387">
          <cell r="C387" t="str">
            <v>Group 3</v>
          </cell>
          <cell r="D387" t="str">
            <v>ineligible</v>
          </cell>
          <cell r="E387">
            <v>2.25</v>
          </cell>
          <cell r="F387">
            <v>2.2999999999999998</v>
          </cell>
          <cell r="G387">
            <v>52968.999999999993</v>
          </cell>
        </row>
        <row r="388">
          <cell r="C388" t="str">
            <v>Group 4</v>
          </cell>
          <cell r="D388" t="str">
            <v>ineligible</v>
          </cell>
          <cell r="E388" t="e">
            <v>#N/A</v>
          </cell>
          <cell r="F388" t="e">
            <v>#N/A</v>
          </cell>
          <cell r="G388" t="e">
            <v>#N/A</v>
          </cell>
        </row>
        <row r="389">
          <cell r="C389" t="str">
            <v>Group 5</v>
          </cell>
          <cell r="D389" t="str">
            <v>ineligible</v>
          </cell>
          <cell r="E389" t="e">
            <v>#N/A</v>
          </cell>
          <cell r="F389" t="e">
            <v>#N/A</v>
          </cell>
          <cell r="G389" t="e">
            <v>#N/A</v>
          </cell>
        </row>
        <row r="390">
          <cell r="C390" t="str">
            <v>Group 6</v>
          </cell>
          <cell r="D390" t="str">
            <v>ineligible</v>
          </cell>
          <cell r="E390" t="e">
            <v>#N/A</v>
          </cell>
          <cell r="F390" t="e">
            <v>#N/A</v>
          </cell>
          <cell r="G390" t="e">
            <v>#N/A</v>
          </cell>
        </row>
        <row r="391">
          <cell r="E391" t="e">
            <v>#N/A</v>
          </cell>
          <cell r="F391" t="e">
            <v>#N/A</v>
          </cell>
          <cell r="G391" t="e">
            <v>#N/A</v>
          </cell>
        </row>
        <row r="419">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cell r="BM419">
            <v>0</v>
          </cell>
          <cell r="BN419">
            <v>0</v>
          </cell>
          <cell r="BO419">
            <v>0</v>
          </cell>
          <cell r="BP419">
            <v>0</v>
          </cell>
          <cell r="BQ419">
            <v>0</v>
          </cell>
          <cell r="BR419">
            <v>0</v>
          </cell>
          <cell r="BS419">
            <v>0</v>
          </cell>
          <cell r="BT419">
            <v>0</v>
          </cell>
          <cell r="BU419">
            <v>0</v>
          </cell>
          <cell r="BV419">
            <v>0</v>
          </cell>
          <cell r="BW419">
            <v>0</v>
          </cell>
          <cell r="BX419">
            <v>0</v>
          </cell>
          <cell r="BY419">
            <v>0</v>
          </cell>
          <cell r="BZ419">
            <v>0</v>
          </cell>
          <cell r="CA419">
            <v>0</v>
          </cell>
          <cell r="CB419">
            <v>0</v>
          </cell>
          <cell r="CC419">
            <v>0</v>
          </cell>
          <cell r="CD419">
            <v>0</v>
          </cell>
          <cell r="CE419">
            <v>0</v>
          </cell>
          <cell r="CF419">
            <v>0</v>
          </cell>
          <cell r="CG419">
            <v>0</v>
          </cell>
          <cell r="CH419">
            <v>9814</v>
          </cell>
          <cell r="CI419">
            <v>9814</v>
          </cell>
          <cell r="CJ419">
            <v>9814</v>
          </cell>
          <cell r="CK419">
            <v>9814</v>
          </cell>
          <cell r="CL419">
            <v>9814</v>
          </cell>
          <cell r="CM419">
            <v>9814</v>
          </cell>
          <cell r="CN419">
            <v>9814</v>
          </cell>
          <cell r="CO419">
            <v>9814</v>
          </cell>
          <cell r="CP419">
            <v>9814</v>
          </cell>
          <cell r="CQ419">
            <v>9814</v>
          </cell>
          <cell r="CR419">
            <v>9814</v>
          </cell>
          <cell r="CS419">
            <v>9814</v>
          </cell>
          <cell r="CT419">
            <v>9814</v>
          </cell>
          <cell r="CU419">
            <v>9814</v>
          </cell>
          <cell r="CV419">
            <v>9814</v>
          </cell>
          <cell r="CW419">
            <v>9814</v>
          </cell>
          <cell r="CX419">
            <v>8986</v>
          </cell>
          <cell r="CY419">
            <v>8986</v>
          </cell>
          <cell r="CZ419">
            <v>8986</v>
          </cell>
          <cell r="DA419">
            <v>8986</v>
          </cell>
          <cell r="DB419">
            <v>8986</v>
          </cell>
          <cell r="DC419">
            <v>8986</v>
          </cell>
          <cell r="DD419">
            <v>8986</v>
          </cell>
          <cell r="DE419">
            <v>8986</v>
          </cell>
          <cell r="DF419">
            <v>8986</v>
          </cell>
          <cell r="DG419">
            <v>8986</v>
          </cell>
          <cell r="DH419">
            <v>8986</v>
          </cell>
          <cell r="DI419">
            <v>8986</v>
          </cell>
          <cell r="DJ419">
            <v>8986</v>
          </cell>
          <cell r="DK419">
            <v>8986</v>
          </cell>
          <cell r="DL419">
            <v>8986</v>
          </cell>
          <cell r="DM419">
            <v>8986</v>
          </cell>
          <cell r="DN419">
            <v>8986</v>
          </cell>
          <cell r="DO419">
            <v>8986</v>
          </cell>
          <cell r="DP419">
            <v>0</v>
          </cell>
          <cell r="DQ419">
            <v>0</v>
          </cell>
          <cell r="DR419">
            <v>0</v>
          </cell>
          <cell r="DS419">
            <v>0</v>
          </cell>
          <cell r="DT419">
            <v>0</v>
          </cell>
          <cell r="DU419">
            <v>0</v>
          </cell>
          <cell r="DV419">
            <v>0</v>
          </cell>
          <cell r="DW419">
            <v>0</v>
          </cell>
          <cell r="DX419">
            <v>0</v>
          </cell>
          <cell r="DY419">
            <v>0</v>
          </cell>
          <cell r="DZ419">
            <v>0</v>
          </cell>
          <cell r="EA419">
            <v>0</v>
          </cell>
          <cell r="EB419">
            <v>0</v>
          </cell>
          <cell r="EC419">
            <v>0</v>
          </cell>
          <cell r="ED419">
            <v>0</v>
          </cell>
          <cell r="EE419">
            <v>0</v>
          </cell>
          <cell r="EF419">
            <v>0</v>
          </cell>
          <cell r="EG419">
            <v>0</v>
          </cell>
          <cell r="EH419">
            <v>0</v>
          </cell>
          <cell r="EI419">
            <v>0</v>
          </cell>
          <cell r="EJ419">
            <v>0</v>
          </cell>
          <cell r="EK419">
            <v>0</v>
          </cell>
          <cell r="EL419">
            <v>0</v>
          </cell>
          <cell r="EM419">
            <v>0</v>
          </cell>
          <cell r="EN419">
            <v>0</v>
          </cell>
          <cell r="EO419">
            <v>0</v>
          </cell>
          <cell r="EP419">
            <v>0</v>
          </cell>
          <cell r="EQ419">
            <v>0</v>
          </cell>
          <cell r="ER419">
            <v>0</v>
          </cell>
          <cell r="ES419">
            <v>0</v>
          </cell>
          <cell r="ET419">
            <v>0</v>
          </cell>
          <cell r="EU419">
            <v>0</v>
          </cell>
          <cell r="EV419">
            <v>0</v>
          </cell>
          <cell r="EW419">
            <v>0</v>
          </cell>
          <cell r="EX419">
            <v>0</v>
          </cell>
          <cell r="EY419">
            <v>0</v>
          </cell>
          <cell r="EZ419">
            <v>0</v>
          </cell>
          <cell r="FA419">
            <v>0</v>
          </cell>
          <cell r="FB419">
            <v>0</v>
          </cell>
          <cell r="FC419">
            <v>0</v>
          </cell>
          <cell r="FD419">
            <v>0</v>
          </cell>
          <cell r="FE419">
            <v>0</v>
          </cell>
          <cell r="FF419">
            <v>0</v>
          </cell>
          <cell r="FG419">
            <v>0</v>
          </cell>
          <cell r="FH419">
            <v>0</v>
          </cell>
          <cell r="FI419">
            <v>0</v>
          </cell>
          <cell r="FJ419">
            <v>0</v>
          </cell>
          <cell r="FK419">
            <v>0</v>
          </cell>
          <cell r="FL419">
            <v>0</v>
          </cell>
          <cell r="FM419">
            <v>0</v>
          </cell>
          <cell r="FN419">
            <v>0</v>
          </cell>
          <cell r="FO419">
            <v>0</v>
          </cell>
          <cell r="FP419">
            <v>0</v>
          </cell>
          <cell r="FQ419">
            <v>0</v>
          </cell>
          <cell r="FR419">
            <v>0</v>
          </cell>
          <cell r="FS419">
            <v>0</v>
          </cell>
          <cell r="FT419">
            <v>0</v>
          </cell>
          <cell r="FU419">
            <v>0</v>
          </cell>
          <cell r="FV419">
            <v>0</v>
          </cell>
          <cell r="FW419">
            <v>0</v>
          </cell>
          <cell r="FX419">
            <v>0</v>
          </cell>
          <cell r="FY419">
            <v>0</v>
          </cell>
          <cell r="FZ419">
            <v>0</v>
          </cell>
          <cell r="GA419">
            <v>0</v>
          </cell>
          <cell r="GB419">
            <v>0</v>
          </cell>
          <cell r="GC419">
            <v>0</v>
          </cell>
          <cell r="GD419">
            <v>0</v>
          </cell>
          <cell r="GE419">
            <v>0</v>
          </cell>
          <cell r="GF419">
            <v>0</v>
          </cell>
          <cell r="GG419">
            <v>0</v>
          </cell>
          <cell r="GH419">
            <v>0</v>
          </cell>
          <cell r="GI419">
            <v>0</v>
          </cell>
          <cell r="GJ419">
            <v>0</v>
          </cell>
          <cell r="GK419">
            <v>0</v>
          </cell>
          <cell r="GL419">
            <v>0</v>
          </cell>
          <cell r="GM419">
            <v>0</v>
          </cell>
          <cell r="GN419">
            <v>0</v>
          </cell>
          <cell r="GO419">
            <v>0</v>
          </cell>
          <cell r="GP419">
            <v>0</v>
          </cell>
          <cell r="GQ419">
            <v>0</v>
          </cell>
          <cell r="GR419">
            <v>0</v>
          </cell>
          <cell r="GS419">
            <v>0</v>
          </cell>
          <cell r="GT419">
            <v>0</v>
          </cell>
          <cell r="GU419">
            <v>0</v>
          </cell>
          <cell r="GV419">
            <v>0</v>
          </cell>
          <cell r="GW419">
            <v>0</v>
          </cell>
          <cell r="GX419">
            <v>0</v>
          </cell>
          <cell r="GY419">
            <v>0</v>
          </cell>
          <cell r="GZ419">
            <v>0</v>
          </cell>
          <cell r="HA419">
            <v>0</v>
          </cell>
          <cell r="HB419">
            <v>0</v>
          </cell>
          <cell r="HC419">
            <v>0</v>
          </cell>
          <cell r="HD419">
            <v>0</v>
          </cell>
          <cell r="HE419">
            <v>0</v>
          </cell>
          <cell r="HF419">
            <v>0</v>
          </cell>
        </row>
        <row r="462">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cell r="BY462">
            <v>0</v>
          </cell>
          <cell r="BZ462">
            <v>4627</v>
          </cell>
          <cell r="CA462">
            <v>4627</v>
          </cell>
          <cell r="CB462">
            <v>4627</v>
          </cell>
          <cell r="CC462">
            <v>4587</v>
          </cell>
          <cell r="CD462">
            <v>4559</v>
          </cell>
          <cell r="CE462">
            <v>4530</v>
          </cell>
          <cell r="CF462">
            <v>4501</v>
          </cell>
          <cell r="CG462">
            <v>4457</v>
          </cell>
          <cell r="CH462">
            <v>4425</v>
          </cell>
          <cell r="CI462">
            <v>4393</v>
          </cell>
          <cell r="CJ462">
            <v>4361</v>
          </cell>
          <cell r="CK462">
            <v>4312</v>
          </cell>
          <cell r="CL462">
            <v>4277</v>
          </cell>
          <cell r="CM462">
            <v>4242</v>
          </cell>
          <cell r="CN462">
            <v>4190</v>
          </cell>
          <cell r="CO462">
            <v>4153</v>
          </cell>
          <cell r="CP462">
            <v>4115</v>
          </cell>
          <cell r="CQ462">
            <v>4076</v>
          </cell>
          <cell r="CR462">
            <v>4020</v>
          </cell>
          <cell r="CS462">
            <v>3980</v>
          </cell>
          <cell r="CT462">
            <v>3938</v>
          </cell>
          <cell r="CU462">
            <v>3879</v>
          </cell>
          <cell r="CV462">
            <v>3836</v>
          </cell>
          <cell r="CW462">
            <v>3792</v>
          </cell>
          <cell r="CX462">
            <v>3747</v>
          </cell>
          <cell r="CY462">
            <v>3684</v>
          </cell>
          <cell r="CZ462">
            <v>3637</v>
          </cell>
          <cell r="DA462">
            <v>3590</v>
          </cell>
          <cell r="DB462">
            <v>3541</v>
          </cell>
          <cell r="DC462">
            <v>3474</v>
          </cell>
          <cell r="DD462">
            <v>3424</v>
          </cell>
          <cell r="DE462">
            <v>3373</v>
          </cell>
          <cell r="DF462">
            <v>3302</v>
          </cell>
          <cell r="DG462">
            <v>3250</v>
          </cell>
          <cell r="DH462">
            <v>3196</v>
          </cell>
          <cell r="DI462">
            <v>3142</v>
          </cell>
          <cell r="DJ462">
            <v>3067</v>
          </cell>
          <cell r="DK462">
            <v>3011</v>
          </cell>
          <cell r="DL462">
            <v>2954</v>
          </cell>
          <cell r="DM462">
            <v>2876</v>
          </cell>
          <cell r="DN462">
            <v>2817</v>
          </cell>
          <cell r="DO462">
            <v>2758</v>
          </cell>
          <cell r="DP462">
            <v>9211</v>
          </cell>
          <cell r="DQ462">
            <v>9128</v>
          </cell>
          <cell r="DR462">
            <v>9066</v>
          </cell>
          <cell r="DS462">
            <v>9004</v>
          </cell>
          <cell r="DT462">
            <v>8940</v>
          </cell>
          <cell r="DU462">
            <v>8853</v>
          </cell>
          <cell r="DV462">
            <v>8788</v>
          </cell>
          <cell r="DW462">
            <v>8722</v>
          </cell>
          <cell r="DX462">
            <v>8632</v>
          </cell>
          <cell r="DY462">
            <v>8564</v>
          </cell>
          <cell r="DZ462">
            <v>8495</v>
          </cell>
          <cell r="EA462">
            <v>8426</v>
          </cell>
          <cell r="EB462">
            <v>8332</v>
          </cell>
          <cell r="EC462">
            <v>8260</v>
          </cell>
          <cell r="ED462">
            <v>8188</v>
          </cell>
          <cell r="EE462">
            <v>8091</v>
          </cell>
          <cell r="EF462">
            <v>8017</v>
          </cell>
          <cell r="EG462">
            <v>7942</v>
          </cell>
          <cell r="EH462">
            <v>7866</v>
          </cell>
          <cell r="EI462">
            <v>7765</v>
          </cell>
          <cell r="EJ462">
            <v>7688</v>
          </cell>
          <cell r="EK462">
            <v>7609</v>
          </cell>
          <cell r="EL462">
            <v>7530</v>
          </cell>
          <cell r="EM462">
            <v>7425</v>
          </cell>
          <cell r="EN462">
            <v>7344</v>
          </cell>
          <cell r="EO462">
            <v>7262</v>
          </cell>
          <cell r="EP462">
            <v>7160</v>
          </cell>
          <cell r="EQ462">
            <v>7097</v>
          </cell>
          <cell r="ER462">
            <v>7033</v>
          </cell>
          <cell r="ES462">
            <v>6968</v>
          </cell>
          <cell r="ET462">
            <v>6890</v>
          </cell>
          <cell r="EU462">
            <v>6824</v>
          </cell>
          <cell r="EV462">
            <v>6758</v>
          </cell>
          <cell r="EW462">
            <v>6692</v>
          </cell>
          <cell r="EX462">
            <v>6604</v>
          </cell>
          <cell r="EY462">
            <v>6536</v>
          </cell>
          <cell r="EZ462">
            <v>6468</v>
          </cell>
          <cell r="FA462">
            <v>6385</v>
          </cell>
          <cell r="FB462">
            <v>6316</v>
          </cell>
          <cell r="FC462">
            <v>6246</v>
          </cell>
          <cell r="FD462">
            <v>6176</v>
          </cell>
          <cell r="FE462">
            <v>6083</v>
          </cell>
          <cell r="FF462">
            <v>6012</v>
          </cell>
          <cell r="FG462">
            <v>5940</v>
          </cell>
          <cell r="FH462">
            <v>5852</v>
          </cell>
          <cell r="FI462">
            <v>5779</v>
          </cell>
          <cell r="FJ462">
            <v>5706</v>
          </cell>
          <cell r="FK462">
            <v>5632</v>
          </cell>
          <cell r="FL462">
            <v>5534</v>
          </cell>
          <cell r="FM462">
            <v>5459</v>
          </cell>
          <cell r="FN462">
            <v>5384</v>
          </cell>
          <cell r="FO462">
            <v>5307</v>
          </cell>
          <cell r="FP462">
            <v>5215</v>
          </cell>
          <cell r="FQ462">
            <v>5138</v>
          </cell>
          <cell r="FR462">
            <v>5060</v>
          </cell>
          <cell r="FS462">
            <v>4958</v>
          </cell>
          <cell r="FT462">
            <v>4879</v>
          </cell>
          <cell r="FU462">
            <v>4799</v>
          </cell>
          <cell r="FV462">
            <v>4719</v>
          </cell>
          <cell r="FW462">
            <v>4622</v>
          </cell>
          <cell r="FX462">
            <v>4541</v>
          </cell>
          <cell r="FY462">
            <v>4460</v>
          </cell>
          <cell r="FZ462">
            <v>4353</v>
          </cell>
          <cell r="GA462">
            <v>4270</v>
          </cell>
          <cell r="GB462">
            <v>4187</v>
          </cell>
          <cell r="GC462">
            <v>4103</v>
          </cell>
          <cell r="GD462">
            <v>4002</v>
          </cell>
          <cell r="GE462">
            <v>3917</v>
          </cell>
          <cell r="GF462">
            <v>3832</v>
          </cell>
          <cell r="GG462">
            <v>3746</v>
          </cell>
          <cell r="GH462">
            <v>3660</v>
          </cell>
          <cell r="GI462">
            <v>3617</v>
          </cell>
          <cell r="GJ462">
            <v>3575</v>
          </cell>
          <cell r="GK462">
            <v>3532</v>
          </cell>
          <cell r="GL462">
            <v>3490</v>
          </cell>
          <cell r="GM462">
            <v>3447</v>
          </cell>
          <cell r="GN462">
            <v>3405</v>
          </cell>
          <cell r="GO462">
            <v>3362</v>
          </cell>
          <cell r="GP462">
            <v>3320</v>
          </cell>
          <cell r="GQ462">
            <v>3277</v>
          </cell>
          <cell r="GR462">
            <v>3235</v>
          </cell>
          <cell r="GS462">
            <v>3192</v>
          </cell>
          <cell r="GT462">
            <v>3150</v>
          </cell>
          <cell r="GU462">
            <v>3107</v>
          </cell>
          <cell r="GV462">
            <v>3065</v>
          </cell>
          <cell r="GW462">
            <v>3022</v>
          </cell>
          <cell r="GX462">
            <v>2980</v>
          </cell>
          <cell r="GY462">
            <v>2937</v>
          </cell>
          <cell r="GZ462">
            <v>2895</v>
          </cell>
          <cell r="HA462">
            <v>2852</v>
          </cell>
          <cell r="HB462">
            <v>2810</v>
          </cell>
          <cell r="HC462">
            <v>2767</v>
          </cell>
          <cell r="HD462">
            <v>2725</v>
          </cell>
          <cell r="HE462">
            <v>2682</v>
          </cell>
          <cell r="HF462">
            <v>2640</v>
          </cell>
        </row>
        <row r="588">
          <cell r="N588">
            <v>0</v>
          </cell>
          <cell r="O588">
            <v>0</v>
          </cell>
          <cell r="P588">
            <v>0</v>
          </cell>
          <cell r="Q588">
            <v>8860</v>
          </cell>
          <cell r="R588">
            <v>8860</v>
          </cell>
          <cell r="S588">
            <v>8860</v>
          </cell>
          <cell r="T588">
            <v>8860</v>
          </cell>
          <cell r="U588">
            <v>8860</v>
          </cell>
          <cell r="V588">
            <v>8860</v>
          </cell>
          <cell r="W588">
            <v>8860</v>
          </cell>
          <cell r="X588">
            <v>8860</v>
          </cell>
          <cell r="Y588">
            <v>8732</v>
          </cell>
          <cell r="Z588">
            <v>8732</v>
          </cell>
          <cell r="AA588">
            <v>8732</v>
          </cell>
          <cell r="AB588">
            <v>8732</v>
          </cell>
          <cell r="AC588">
            <v>8732</v>
          </cell>
          <cell r="AD588">
            <v>8680</v>
          </cell>
          <cell r="AE588">
            <v>8680</v>
          </cell>
          <cell r="AF588">
            <v>11556</v>
          </cell>
          <cell r="AG588">
            <v>11556</v>
          </cell>
          <cell r="AH588">
            <v>11478</v>
          </cell>
          <cell r="AI588">
            <v>11478</v>
          </cell>
          <cell r="AJ588">
            <v>11478</v>
          </cell>
          <cell r="AK588">
            <v>11478</v>
          </cell>
          <cell r="AL588">
            <v>11138</v>
          </cell>
          <cell r="AM588">
            <v>11138</v>
          </cell>
          <cell r="AN588">
            <v>11138</v>
          </cell>
          <cell r="AO588">
            <v>11138</v>
          </cell>
          <cell r="AP588">
            <v>10800</v>
          </cell>
          <cell r="AQ588">
            <v>10800</v>
          </cell>
          <cell r="AR588">
            <v>13206</v>
          </cell>
          <cell r="AS588">
            <v>13206</v>
          </cell>
          <cell r="AT588">
            <v>12684</v>
          </cell>
          <cell r="AU588">
            <v>12684</v>
          </cell>
          <cell r="AV588">
            <v>12684</v>
          </cell>
          <cell r="AW588">
            <v>12684</v>
          </cell>
          <cell r="AX588">
            <v>12162</v>
          </cell>
          <cell r="AY588">
            <v>12162</v>
          </cell>
          <cell r="AZ588">
            <v>12162</v>
          </cell>
          <cell r="BA588">
            <v>12162</v>
          </cell>
          <cell r="BB588">
            <v>12162</v>
          </cell>
          <cell r="BC588">
            <v>12162</v>
          </cell>
          <cell r="BD588">
            <v>12162</v>
          </cell>
          <cell r="BE588">
            <v>12162</v>
          </cell>
          <cell r="BF588">
            <v>12162</v>
          </cell>
          <cell r="BG588">
            <v>12162</v>
          </cell>
          <cell r="BH588">
            <v>12162</v>
          </cell>
          <cell r="BI588">
            <v>12162</v>
          </cell>
          <cell r="BJ588">
            <v>12162</v>
          </cell>
          <cell r="BK588">
            <v>12162</v>
          </cell>
          <cell r="BL588">
            <v>12162</v>
          </cell>
          <cell r="BM588">
            <v>12162</v>
          </cell>
          <cell r="BN588">
            <v>12162</v>
          </cell>
          <cell r="BO588">
            <v>12162</v>
          </cell>
          <cell r="BP588">
            <v>12162</v>
          </cell>
          <cell r="BQ588">
            <v>12162</v>
          </cell>
          <cell r="BR588">
            <v>12162</v>
          </cell>
          <cell r="BS588">
            <v>12162</v>
          </cell>
          <cell r="BT588">
            <v>12162</v>
          </cell>
          <cell r="BU588">
            <v>12162</v>
          </cell>
          <cell r="BV588">
            <v>12162</v>
          </cell>
          <cell r="BW588">
            <v>12162</v>
          </cell>
          <cell r="BX588">
            <v>12162</v>
          </cell>
          <cell r="BY588">
            <v>12162</v>
          </cell>
          <cell r="BZ588">
            <v>12162</v>
          </cell>
          <cell r="CA588">
            <v>12162</v>
          </cell>
          <cell r="CB588">
            <v>12162</v>
          </cell>
          <cell r="CC588">
            <v>12162</v>
          </cell>
          <cell r="CD588">
            <v>12162</v>
          </cell>
          <cell r="CE588">
            <v>12162</v>
          </cell>
          <cell r="CF588">
            <v>9208</v>
          </cell>
          <cell r="CG588">
            <v>9208</v>
          </cell>
          <cell r="CH588">
            <v>9208</v>
          </cell>
          <cell r="CI588">
            <v>9208</v>
          </cell>
          <cell r="CJ588">
            <v>9208</v>
          </cell>
          <cell r="CK588">
            <v>9208</v>
          </cell>
          <cell r="CL588">
            <v>9208</v>
          </cell>
          <cell r="CM588">
            <v>9208</v>
          </cell>
          <cell r="CN588">
            <v>9208</v>
          </cell>
          <cell r="CO588">
            <v>9208</v>
          </cell>
          <cell r="CP588">
            <v>9208</v>
          </cell>
          <cell r="CQ588">
            <v>9208</v>
          </cell>
          <cell r="CR588">
            <v>9208</v>
          </cell>
          <cell r="CS588">
            <v>9208</v>
          </cell>
          <cell r="CT588">
            <v>9208</v>
          </cell>
          <cell r="CU588">
            <v>9208</v>
          </cell>
          <cell r="CV588">
            <v>6254</v>
          </cell>
          <cell r="CW588">
            <v>6254</v>
          </cell>
          <cell r="CX588">
            <v>6254</v>
          </cell>
          <cell r="CY588">
            <v>6254</v>
          </cell>
          <cell r="CZ588">
            <v>6254</v>
          </cell>
          <cell r="DA588">
            <v>6254</v>
          </cell>
          <cell r="DB588">
            <v>6254</v>
          </cell>
          <cell r="DC588">
            <v>6254</v>
          </cell>
          <cell r="DD588">
            <v>6254</v>
          </cell>
          <cell r="DE588">
            <v>6254</v>
          </cell>
          <cell r="DF588">
            <v>6254</v>
          </cell>
          <cell r="DG588">
            <v>6254</v>
          </cell>
          <cell r="DH588">
            <v>6254</v>
          </cell>
          <cell r="DI588">
            <v>6254</v>
          </cell>
          <cell r="DJ588">
            <v>4777</v>
          </cell>
          <cell r="DK588">
            <v>4777</v>
          </cell>
          <cell r="DL588">
            <v>4777</v>
          </cell>
          <cell r="DM588">
            <v>4777</v>
          </cell>
          <cell r="DN588">
            <v>4777</v>
          </cell>
          <cell r="DO588">
            <v>4777</v>
          </cell>
          <cell r="DP588">
            <v>4777</v>
          </cell>
          <cell r="DQ588">
            <v>4777</v>
          </cell>
          <cell r="DR588">
            <v>4777</v>
          </cell>
          <cell r="DS588">
            <v>4777</v>
          </cell>
          <cell r="DT588">
            <v>4777</v>
          </cell>
          <cell r="DU588">
            <v>4777</v>
          </cell>
          <cell r="DV588">
            <v>4777</v>
          </cell>
          <cell r="DW588">
            <v>4777</v>
          </cell>
          <cell r="DX588">
            <v>4777</v>
          </cell>
          <cell r="DY588">
            <v>4777</v>
          </cell>
          <cell r="DZ588">
            <v>4777</v>
          </cell>
          <cell r="EA588">
            <v>4777</v>
          </cell>
          <cell r="EB588">
            <v>4777</v>
          </cell>
          <cell r="EC588">
            <v>4777</v>
          </cell>
          <cell r="ED588">
            <v>4777</v>
          </cell>
          <cell r="EE588">
            <v>4777</v>
          </cell>
          <cell r="EF588">
            <v>4777</v>
          </cell>
          <cell r="EG588">
            <v>4777</v>
          </cell>
          <cell r="EH588">
            <v>4777</v>
          </cell>
          <cell r="EI588">
            <v>4777</v>
          </cell>
          <cell r="EJ588">
            <v>4777</v>
          </cell>
          <cell r="EK588">
            <v>0</v>
          </cell>
          <cell r="EL588">
            <v>0</v>
          </cell>
          <cell r="EM588">
            <v>0</v>
          </cell>
          <cell r="EN588">
            <v>0</v>
          </cell>
          <cell r="EO588">
            <v>0</v>
          </cell>
          <cell r="EP588">
            <v>0</v>
          </cell>
          <cell r="EQ588">
            <v>0</v>
          </cell>
          <cell r="ER588">
            <v>0</v>
          </cell>
          <cell r="ES588">
            <v>0</v>
          </cell>
          <cell r="ET588">
            <v>0</v>
          </cell>
          <cell r="EU588">
            <v>0</v>
          </cell>
          <cell r="EV588">
            <v>0</v>
          </cell>
          <cell r="EW588">
            <v>0</v>
          </cell>
          <cell r="EX588">
            <v>0</v>
          </cell>
          <cell r="EY588">
            <v>0</v>
          </cell>
          <cell r="EZ588">
            <v>0</v>
          </cell>
          <cell r="FA588">
            <v>0</v>
          </cell>
          <cell r="FB588">
            <v>0</v>
          </cell>
          <cell r="FC588">
            <v>0</v>
          </cell>
          <cell r="FD588">
            <v>0</v>
          </cell>
          <cell r="FE588">
            <v>0</v>
          </cell>
          <cell r="FF588">
            <v>0</v>
          </cell>
          <cell r="FG588">
            <v>0</v>
          </cell>
          <cell r="FH588">
            <v>0</v>
          </cell>
          <cell r="FI588">
            <v>0</v>
          </cell>
          <cell r="FJ588">
            <v>0</v>
          </cell>
          <cell r="FK588">
            <v>0</v>
          </cell>
          <cell r="FL588">
            <v>0</v>
          </cell>
          <cell r="FM588">
            <v>0</v>
          </cell>
          <cell r="FN588">
            <v>0</v>
          </cell>
          <cell r="FO588">
            <v>0</v>
          </cell>
          <cell r="FP588">
            <v>0</v>
          </cell>
          <cell r="FQ588">
            <v>0</v>
          </cell>
          <cell r="FR588">
            <v>0</v>
          </cell>
          <cell r="FS588">
            <v>0</v>
          </cell>
          <cell r="FT588">
            <v>0</v>
          </cell>
          <cell r="FU588">
            <v>0</v>
          </cell>
          <cell r="FV588">
            <v>0</v>
          </cell>
          <cell r="FW588">
            <v>0</v>
          </cell>
          <cell r="FX588">
            <v>0</v>
          </cell>
          <cell r="FY588">
            <v>0</v>
          </cell>
          <cell r="FZ588">
            <v>0</v>
          </cell>
          <cell r="GA588">
            <v>0</v>
          </cell>
          <cell r="GB588">
            <v>0</v>
          </cell>
          <cell r="GC588">
            <v>0</v>
          </cell>
          <cell r="GD588">
            <v>0</v>
          </cell>
          <cell r="GE588">
            <v>0</v>
          </cell>
          <cell r="GF588">
            <v>0</v>
          </cell>
          <cell r="GG588">
            <v>0</v>
          </cell>
          <cell r="GH588">
            <v>0</v>
          </cell>
          <cell r="GI588">
            <v>0</v>
          </cell>
          <cell r="GJ588">
            <v>0</v>
          </cell>
          <cell r="GK588">
            <v>0</v>
          </cell>
          <cell r="GL588">
            <v>0</v>
          </cell>
          <cell r="GM588">
            <v>0</v>
          </cell>
          <cell r="GN588">
            <v>0</v>
          </cell>
          <cell r="GO588">
            <v>0</v>
          </cell>
          <cell r="GP588">
            <v>0</v>
          </cell>
          <cell r="GQ588">
            <v>0</v>
          </cell>
          <cell r="GR588">
            <v>0</v>
          </cell>
          <cell r="GS588">
            <v>0</v>
          </cell>
          <cell r="GT588">
            <v>0</v>
          </cell>
          <cell r="GU588">
            <v>0</v>
          </cell>
          <cell r="GV588">
            <v>0</v>
          </cell>
          <cell r="GW588">
            <v>0</v>
          </cell>
          <cell r="GX588">
            <v>0</v>
          </cell>
          <cell r="GY588">
            <v>0</v>
          </cell>
          <cell r="GZ588">
            <v>0</v>
          </cell>
          <cell r="HA588">
            <v>0</v>
          </cell>
          <cell r="HB588">
            <v>0</v>
          </cell>
          <cell r="HC588">
            <v>0</v>
          </cell>
          <cell r="HD588">
            <v>0</v>
          </cell>
          <cell r="HE588">
            <v>0</v>
          </cell>
          <cell r="HF588">
            <v>0</v>
          </cell>
        </row>
        <row r="685">
          <cell r="N685">
            <v>9689</v>
          </cell>
          <cell r="O685">
            <v>9539</v>
          </cell>
          <cell r="P685">
            <v>9389</v>
          </cell>
          <cell r="Q685">
            <v>9243</v>
          </cell>
          <cell r="R685">
            <v>9127</v>
          </cell>
          <cell r="S685">
            <v>9010</v>
          </cell>
          <cell r="T685">
            <v>8893</v>
          </cell>
          <cell r="U685">
            <v>8777</v>
          </cell>
          <cell r="V685">
            <v>8660</v>
          </cell>
          <cell r="W685">
            <v>8543</v>
          </cell>
          <cell r="X685">
            <v>8427</v>
          </cell>
          <cell r="Y685">
            <v>8348</v>
          </cell>
          <cell r="Z685">
            <v>8232</v>
          </cell>
          <cell r="AA685">
            <v>8115</v>
          </cell>
          <cell r="AB685">
            <v>7998</v>
          </cell>
          <cell r="AC685">
            <v>7882</v>
          </cell>
          <cell r="AD685">
            <v>7781</v>
          </cell>
          <cell r="AE685">
            <v>7664</v>
          </cell>
          <cell r="AF685">
            <v>7571</v>
          </cell>
          <cell r="AG685">
            <v>7454</v>
          </cell>
          <cell r="AH685">
            <v>7361</v>
          </cell>
          <cell r="AI685">
            <v>7244</v>
          </cell>
          <cell r="AJ685">
            <v>7127</v>
          </cell>
          <cell r="AK685">
            <v>7010</v>
          </cell>
          <cell r="AL685">
            <v>6996</v>
          </cell>
          <cell r="AM685">
            <v>6879</v>
          </cell>
          <cell r="AN685">
            <v>6763</v>
          </cell>
          <cell r="AO685">
            <v>6646</v>
          </cell>
          <cell r="AP685">
            <v>6631</v>
          </cell>
          <cell r="AQ685">
            <v>6514</v>
          </cell>
          <cell r="AR685">
            <v>6562</v>
          </cell>
          <cell r="AS685">
            <v>6445</v>
          </cell>
          <cell r="AT685">
            <v>6485</v>
          </cell>
          <cell r="AU685">
            <v>6368</v>
          </cell>
          <cell r="AV685">
            <v>6251</v>
          </cell>
          <cell r="AW685">
            <v>6116</v>
          </cell>
          <cell r="AX685">
            <v>6122</v>
          </cell>
          <cell r="AY685">
            <v>5972</v>
          </cell>
          <cell r="AZ685">
            <v>5822</v>
          </cell>
          <cell r="BA685">
            <v>5672</v>
          </cell>
          <cell r="BB685">
            <v>5522</v>
          </cell>
          <cell r="BC685">
            <v>5372</v>
          </cell>
          <cell r="BD685">
            <v>5222</v>
          </cell>
          <cell r="BE685">
            <v>5072</v>
          </cell>
          <cell r="BF685">
            <v>4922</v>
          </cell>
          <cell r="BG685">
            <v>4772</v>
          </cell>
          <cell r="BH685">
            <v>4622</v>
          </cell>
          <cell r="BI685">
            <v>4472</v>
          </cell>
          <cell r="BJ685">
            <v>4322</v>
          </cell>
          <cell r="BK685">
            <v>4172</v>
          </cell>
          <cell r="BL685">
            <v>4022</v>
          </cell>
          <cell r="BM685">
            <v>3872</v>
          </cell>
          <cell r="BN685">
            <v>3722</v>
          </cell>
          <cell r="BO685">
            <v>3572</v>
          </cell>
          <cell r="BP685">
            <v>3422</v>
          </cell>
          <cell r="BQ685">
            <v>3272</v>
          </cell>
          <cell r="BR685">
            <v>3122</v>
          </cell>
          <cell r="BS685">
            <v>2972</v>
          </cell>
          <cell r="BT685">
            <v>2822</v>
          </cell>
          <cell r="BU685">
            <v>2672</v>
          </cell>
          <cell r="BV685">
            <v>2522</v>
          </cell>
          <cell r="BW685">
            <v>2372</v>
          </cell>
          <cell r="BX685">
            <v>2222</v>
          </cell>
          <cell r="BY685">
            <v>2072</v>
          </cell>
          <cell r="BZ685">
            <v>1922</v>
          </cell>
          <cell r="CA685">
            <v>1772</v>
          </cell>
          <cell r="CB685">
            <v>1622</v>
          </cell>
          <cell r="CC685">
            <v>1472</v>
          </cell>
          <cell r="CD685">
            <v>1322</v>
          </cell>
          <cell r="CE685">
            <v>1172</v>
          </cell>
          <cell r="CF685">
            <v>1022</v>
          </cell>
          <cell r="CG685">
            <v>872</v>
          </cell>
          <cell r="CH685">
            <v>722</v>
          </cell>
          <cell r="CI685">
            <v>572</v>
          </cell>
          <cell r="CJ685">
            <v>422</v>
          </cell>
          <cell r="CK685">
            <v>272</v>
          </cell>
          <cell r="CL685">
            <v>0</v>
          </cell>
          <cell r="CM685">
            <v>0</v>
          </cell>
          <cell r="CN685">
            <v>0</v>
          </cell>
          <cell r="CO685">
            <v>0</v>
          </cell>
          <cell r="CP685">
            <v>0</v>
          </cell>
          <cell r="CQ685">
            <v>0</v>
          </cell>
          <cell r="CR685">
            <v>0</v>
          </cell>
          <cell r="CS685">
            <v>0</v>
          </cell>
          <cell r="CT685">
            <v>0</v>
          </cell>
          <cell r="CU685">
            <v>0</v>
          </cell>
          <cell r="CV685">
            <v>0</v>
          </cell>
          <cell r="CW685">
            <v>0</v>
          </cell>
          <cell r="CX685">
            <v>0</v>
          </cell>
          <cell r="CY685">
            <v>0</v>
          </cell>
          <cell r="CZ685">
            <v>0</v>
          </cell>
          <cell r="DA685">
            <v>0</v>
          </cell>
          <cell r="DB685">
            <v>0</v>
          </cell>
          <cell r="DC685">
            <v>0</v>
          </cell>
          <cell r="DD685">
            <v>0</v>
          </cell>
          <cell r="DE685">
            <v>0</v>
          </cell>
          <cell r="DF685">
            <v>0</v>
          </cell>
          <cell r="DG685">
            <v>0</v>
          </cell>
          <cell r="DH685">
            <v>0</v>
          </cell>
          <cell r="DI685">
            <v>0</v>
          </cell>
          <cell r="DJ685">
            <v>0</v>
          </cell>
          <cell r="DK685">
            <v>0</v>
          </cell>
          <cell r="DL685">
            <v>0</v>
          </cell>
          <cell r="DM685">
            <v>0</v>
          </cell>
          <cell r="DN685">
            <v>0</v>
          </cell>
          <cell r="DO685">
            <v>0</v>
          </cell>
          <cell r="DP685">
            <v>0</v>
          </cell>
          <cell r="DQ685">
            <v>0</v>
          </cell>
          <cell r="DR685">
            <v>0</v>
          </cell>
          <cell r="DS685">
            <v>0</v>
          </cell>
          <cell r="DT685">
            <v>0</v>
          </cell>
          <cell r="DU685">
            <v>0</v>
          </cell>
          <cell r="DV685">
            <v>0</v>
          </cell>
          <cell r="DW685">
            <v>0</v>
          </cell>
          <cell r="DX685">
            <v>0</v>
          </cell>
          <cell r="DY685">
            <v>0</v>
          </cell>
          <cell r="DZ685">
            <v>0</v>
          </cell>
          <cell r="EA685">
            <v>0</v>
          </cell>
          <cell r="EB685">
            <v>0</v>
          </cell>
          <cell r="EC685">
            <v>0</v>
          </cell>
          <cell r="ED685">
            <v>0</v>
          </cell>
          <cell r="EE685">
            <v>0</v>
          </cell>
          <cell r="EF685">
            <v>0</v>
          </cell>
          <cell r="EG685">
            <v>0</v>
          </cell>
          <cell r="EH685">
            <v>0</v>
          </cell>
          <cell r="EI685">
            <v>0</v>
          </cell>
          <cell r="EJ685">
            <v>0</v>
          </cell>
          <cell r="EK685">
            <v>0</v>
          </cell>
          <cell r="EL685">
            <v>0</v>
          </cell>
          <cell r="EM685">
            <v>0</v>
          </cell>
          <cell r="EN685">
            <v>0</v>
          </cell>
          <cell r="EO685">
            <v>0</v>
          </cell>
          <cell r="EP685">
            <v>0</v>
          </cell>
          <cell r="EQ685">
            <v>0</v>
          </cell>
          <cell r="ER685">
            <v>0</v>
          </cell>
          <cell r="ES685">
            <v>0</v>
          </cell>
          <cell r="ET685">
            <v>0</v>
          </cell>
          <cell r="EU685">
            <v>0</v>
          </cell>
          <cell r="EV685">
            <v>0</v>
          </cell>
          <cell r="EW685">
            <v>0</v>
          </cell>
          <cell r="EX685">
            <v>0</v>
          </cell>
          <cell r="EY685">
            <v>0</v>
          </cell>
          <cell r="EZ685">
            <v>0</v>
          </cell>
          <cell r="FA685">
            <v>0</v>
          </cell>
          <cell r="FB685">
            <v>0</v>
          </cell>
          <cell r="FC685">
            <v>0</v>
          </cell>
          <cell r="FD685">
            <v>0</v>
          </cell>
          <cell r="FE685">
            <v>0</v>
          </cell>
          <cell r="FF685">
            <v>0</v>
          </cell>
          <cell r="FG685">
            <v>0</v>
          </cell>
          <cell r="FH685">
            <v>0</v>
          </cell>
          <cell r="FI685">
            <v>0</v>
          </cell>
          <cell r="FJ685">
            <v>0</v>
          </cell>
          <cell r="FK685">
            <v>0</v>
          </cell>
          <cell r="FL685">
            <v>0</v>
          </cell>
          <cell r="FM685">
            <v>0</v>
          </cell>
          <cell r="FN685">
            <v>0</v>
          </cell>
          <cell r="FO685">
            <v>0</v>
          </cell>
          <cell r="FP685">
            <v>0</v>
          </cell>
          <cell r="FQ685">
            <v>0</v>
          </cell>
          <cell r="FR685">
            <v>0</v>
          </cell>
          <cell r="FS685">
            <v>0</v>
          </cell>
          <cell r="FT685">
            <v>0</v>
          </cell>
          <cell r="FU685">
            <v>0</v>
          </cell>
          <cell r="FV685">
            <v>0</v>
          </cell>
          <cell r="FW685">
            <v>0</v>
          </cell>
          <cell r="FX685">
            <v>0</v>
          </cell>
          <cell r="FY685">
            <v>0</v>
          </cell>
          <cell r="FZ685">
            <v>0</v>
          </cell>
          <cell r="GA685">
            <v>0</v>
          </cell>
          <cell r="GB685">
            <v>0</v>
          </cell>
          <cell r="GC685">
            <v>0</v>
          </cell>
          <cell r="GD685">
            <v>0</v>
          </cell>
          <cell r="GE685">
            <v>0</v>
          </cell>
          <cell r="GF685">
            <v>0</v>
          </cell>
          <cell r="GG685">
            <v>0</v>
          </cell>
          <cell r="GH685">
            <v>0</v>
          </cell>
          <cell r="GI685">
            <v>0</v>
          </cell>
          <cell r="GJ685">
            <v>0</v>
          </cell>
          <cell r="GK685">
            <v>0</v>
          </cell>
          <cell r="GL685">
            <v>0</v>
          </cell>
          <cell r="GM685">
            <v>0</v>
          </cell>
          <cell r="GN685">
            <v>0</v>
          </cell>
          <cell r="GO685">
            <v>0</v>
          </cell>
          <cell r="GP685">
            <v>0</v>
          </cell>
          <cell r="GQ685">
            <v>0</v>
          </cell>
          <cell r="GR685">
            <v>0</v>
          </cell>
          <cell r="GS685">
            <v>0</v>
          </cell>
          <cell r="GT685">
            <v>0</v>
          </cell>
          <cell r="GU685">
            <v>0</v>
          </cell>
          <cell r="GV685">
            <v>0</v>
          </cell>
          <cell r="GW685">
            <v>0</v>
          </cell>
          <cell r="GX685">
            <v>0</v>
          </cell>
          <cell r="GY685">
            <v>0</v>
          </cell>
          <cell r="GZ685">
            <v>0</v>
          </cell>
          <cell r="HA685">
            <v>0</v>
          </cell>
          <cell r="HB685">
            <v>0</v>
          </cell>
          <cell r="HC685">
            <v>0</v>
          </cell>
          <cell r="HD685">
            <v>0</v>
          </cell>
          <cell r="HE685">
            <v>0</v>
          </cell>
          <cell r="HF685">
            <v>0</v>
          </cell>
        </row>
        <row r="688">
          <cell r="N688">
            <v>9689</v>
          </cell>
          <cell r="O688">
            <v>9539</v>
          </cell>
          <cell r="P688">
            <v>9389</v>
          </cell>
          <cell r="Q688">
            <v>9243</v>
          </cell>
          <cell r="R688">
            <v>9127</v>
          </cell>
          <cell r="S688">
            <v>9010</v>
          </cell>
          <cell r="T688">
            <v>8893</v>
          </cell>
          <cell r="U688">
            <v>8777</v>
          </cell>
          <cell r="V688">
            <v>8660</v>
          </cell>
          <cell r="W688">
            <v>8543</v>
          </cell>
          <cell r="X688">
            <v>8427</v>
          </cell>
          <cell r="Y688">
            <v>8348</v>
          </cell>
          <cell r="Z688">
            <v>8232</v>
          </cell>
          <cell r="AA688">
            <v>8115</v>
          </cell>
          <cell r="AB688">
            <v>7998</v>
          </cell>
          <cell r="AC688">
            <v>7882</v>
          </cell>
          <cell r="AD688">
            <v>7781</v>
          </cell>
          <cell r="AE688">
            <v>7664</v>
          </cell>
          <cell r="AF688">
            <v>7571</v>
          </cell>
          <cell r="AG688">
            <v>7454</v>
          </cell>
          <cell r="AH688">
            <v>7361</v>
          </cell>
          <cell r="AI688">
            <v>7244</v>
          </cell>
          <cell r="AJ688">
            <v>7127</v>
          </cell>
          <cell r="AK688">
            <v>7010</v>
          </cell>
          <cell r="AL688">
            <v>6996</v>
          </cell>
          <cell r="AM688">
            <v>6879</v>
          </cell>
          <cell r="AN688">
            <v>6763</v>
          </cell>
          <cell r="AO688">
            <v>6646</v>
          </cell>
          <cell r="AP688">
            <v>6631</v>
          </cell>
          <cell r="AQ688">
            <v>6514</v>
          </cell>
          <cell r="AR688">
            <v>6562</v>
          </cell>
          <cell r="AS688">
            <v>6445</v>
          </cell>
          <cell r="AT688">
            <v>6485</v>
          </cell>
          <cell r="AU688">
            <v>6368</v>
          </cell>
          <cell r="AV688">
            <v>6251</v>
          </cell>
          <cell r="AW688">
            <v>6116</v>
          </cell>
          <cell r="AX688">
            <v>6122</v>
          </cell>
          <cell r="AY688">
            <v>5972</v>
          </cell>
          <cell r="AZ688">
            <v>5822</v>
          </cell>
          <cell r="BA688">
            <v>5672</v>
          </cell>
          <cell r="BB688">
            <v>5522</v>
          </cell>
          <cell r="BC688">
            <v>5372</v>
          </cell>
          <cell r="BD688">
            <v>5222</v>
          </cell>
          <cell r="BE688">
            <v>5072</v>
          </cell>
          <cell r="BF688">
            <v>4922</v>
          </cell>
          <cell r="BG688">
            <v>4772</v>
          </cell>
          <cell r="BH688">
            <v>4622</v>
          </cell>
          <cell r="BI688">
            <v>4472</v>
          </cell>
          <cell r="BJ688">
            <v>4322</v>
          </cell>
          <cell r="BK688">
            <v>4172</v>
          </cell>
          <cell r="BL688">
            <v>4022</v>
          </cell>
          <cell r="BM688">
            <v>3872</v>
          </cell>
          <cell r="BN688">
            <v>3722</v>
          </cell>
          <cell r="BO688">
            <v>3572</v>
          </cell>
          <cell r="BP688">
            <v>3422</v>
          </cell>
          <cell r="BQ688">
            <v>3272</v>
          </cell>
          <cell r="BR688">
            <v>3122</v>
          </cell>
          <cell r="BS688">
            <v>2972</v>
          </cell>
          <cell r="BT688">
            <v>2822</v>
          </cell>
          <cell r="BU688">
            <v>2672</v>
          </cell>
          <cell r="BV688">
            <v>2522</v>
          </cell>
          <cell r="BW688">
            <v>2372</v>
          </cell>
          <cell r="BX688">
            <v>2222</v>
          </cell>
          <cell r="BY688">
            <v>2072</v>
          </cell>
          <cell r="BZ688">
            <v>1922</v>
          </cell>
          <cell r="CA688">
            <v>1772</v>
          </cell>
          <cell r="CB688">
            <v>1622</v>
          </cell>
          <cell r="CC688">
            <v>1472</v>
          </cell>
          <cell r="CD688">
            <v>1322</v>
          </cell>
          <cell r="CE688">
            <v>1172</v>
          </cell>
          <cell r="CF688">
            <v>1022</v>
          </cell>
          <cell r="CG688">
            <v>872</v>
          </cell>
          <cell r="CH688">
            <v>722</v>
          </cell>
          <cell r="CI688">
            <v>572</v>
          </cell>
          <cell r="CJ688">
            <v>422</v>
          </cell>
          <cell r="CK688">
            <v>272</v>
          </cell>
          <cell r="CL688">
            <v>122</v>
          </cell>
          <cell r="CM688">
            <v>0</v>
          </cell>
          <cell r="CN688">
            <v>0</v>
          </cell>
          <cell r="CO688">
            <v>0</v>
          </cell>
          <cell r="CP688">
            <v>0</v>
          </cell>
          <cell r="CQ688">
            <v>0</v>
          </cell>
          <cell r="CR688">
            <v>0</v>
          </cell>
          <cell r="CS688">
            <v>0</v>
          </cell>
          <cell r="CT688">
            <v>0</v>
          </cell>
          <cell r="CU688">
            <v>0</v>
          </cell>
          <cell r="CV688">
            <v>0</v>
          </cell>
          <cell r="CW688">
            <v>0</v>
          </cell>
          <cell r="CX688">
            <v>0</v>
          </cell>
          <cell r="CY688">
            <v>0</v>
          </cell>
          <cell r="CZ688">
            <v>0</v>
          </cell>
          <cell r="DA688">
            <v>0</v>
          </cell>
          <cell r="DB688">
            <v>0</v>
          </cell>
          <cell r="DC688">
            <v>0</v>
          </cell>
          <cell r="DD688">
            <v>0</v>
          </cell>
          <cell r="DE688">
            <v>0</v>
          </cell>
          <cell r="DF688">
            <v>0</v>
          </cell>
          <cell r="DG688">
            <v>0</v>
          </cell>
          <cell r="DH688">
            <v>0</v>
          </cell>
          <cell r="DI688">
            <v>0</v>
          </cell>
          <cell r="DJ688">
            <v>0</v>
          </cell>
          <cell r="DK688">
            <v>0</v>
          </cell>
          <cell r="DL688">
            <v>0</v>
          </cell>
          <cell r="DM688">
            <v>0</v>
          </cell>
          <cell r="DN688">
            <v>0</v>
          </cell>
          <cell r="DO688">
            <v>0</v>
          </cell>
          <cell r="DP688">
            <v>0</v>
          </cell>
          <cell r="DQ688">
            <v>0</v>
          </cell>
          <cell r="DR688">
            <v>0</v>
          </cell>
          <cell r="DS688">
            <v>0</v>
          </cell>
          <cell r="DT688">
            <v>0</v>
          </cell>
          <cell r="DU688">
            <v>0</v>
          </cell>
          <cell r="DV688">
            <v>0</v>
          </cell>
          <cell r="DW688">
            <v>0</v>
          </cell>
          <cell r="DX688">
            <v>0</v>
          </cell>
          <cell r="DY688">
            <v>0</v>
          </cell>
          <cell r="DZ688">
            <v>0</v>
          </cell>
          <cell r="EA688">
            <v>0</v>
          </cell>
          <cell r="EB688">
            <v>0</v>
          </cell>
          <cell r="EC688">
            <v>0</v>
          </cell>
          <cell r="ED688">
            <v>0</v>
          </cell>
          <cell r="EE688">
            <v>0</v>
          </cell>
          <cell r="EF688">
            <v>0</v>
          </cell>
          <cell r="EG688">
            <v>0</v>
          </cell>
          <cell r="EH688">
            <v>0</v>
          </cell>
          <cell r="EI688">
            <v>0</v>
          </cell>
          <cell r="EJ688">
            <v>0</v>
          </cell>
          <cell r="EK688">
            <v>0</v>
          </cell>
          <cell r="EL688">
            <v>0</v>
          </cell>
          <cell r="EM688">
            <v>0</v>
          </cell>
          <cell r="EN688">
            <v>0</v>
          </cell>
          <cell r="EO688">
            <v>0</v>
          </cell>
          <cell r="EP688">
            <v>0</v>
          </cell>
          <cell r="EQ688">
            <v>0</v>
          </cell>
          <cell r="ER688">
            <v>0</v>
          </cell>
          <cell r="ES688">
            <v>0</v>
          </cell>
          <cell r="ET688">
            <v>0</v>
          </cell>
          <cell r="EU688">
            <v>0</v>
          </cell>
          <cell r="EV688">
            <v>0</v>
          </cell>
          <cell r="EW688">
            <v>0</v>
          </cell>
          <cell r="EX688">
            <v>0</v>
          </cell>
          <cell r="EY688">
            <v>0</v>
          </cell>
          <cell r="EZ688">
            <v>0</v>
          </cell>
          <cell r="FA688">
            <v>0</v>
          </cell>
          <cell r="FB688">
            <v>0</v>
          </cell>
          <cell r="FC688">
            <v>0</v>
          </cell>
          <cell r="FD688">
            <v>0</v>
          </cell>
          <cell r="FE688">
            <v>0</v>
          </cell>
          <cell r="FF688">
            <v>0</v>
          </cell>
          <cell r="FG688">
            <v>0</v>
          </cell>
          <cell r="FH688">
            <v>0</v>
          </cell>
          <cell r="FI688">
            <v>0</v>
          </cell>
          <cell r="FJ688">
            <v>0</v>
          </cell>
          <cell r="FK688">
            <v>0</v>
          </cell>
          <cell r="FL688">
            <v>0</v>
          </cell>
          <cell r="FM688">
            <v>0</v>
          </cell>
          <cell r="FN688">
            <v>0</v>
          </cell>
          <cell r="FO688">
            <v>0</v>
          </cell>
          <cell r="FP688">
            <v>0</v>
          </cell>
          <cell r="FQ688">
            <v>0</v>
          </cell>
          <cell r="FR688">
            <v>0</v>
          </cell>
          <cell r="FS688">
            <v>0</v>
          </cell>
          <cell r="FT688">
            <v>0</v>
          </cell>
          <cell r="FU688">
            <v>0</v>
          </cell>
          <cell r="FV688">
            <v>0</v>
          </cell>
          <cell r="FW688">
            <v>0</v>
          </cell>
          <cell r="FX688">
            <v>0</v>
          </cell>
          <cell r="FY688">
            <v>0</v>
          </cell>
          <cell r="FZ688">
            <v>0</v>
          </cell>
          <cell r="GA688">
            <v>0</v>
          </cell>
          <cell r="GB688">
            <v>0</v>
          </cell>
          <cell r="GC688">
            <v>0</v>
          </cell>
          <cell r="GD688">
            <v>0</v>
          </cell>
          <cell r="GE688">
            <v>0</v>
          </cell>
          <cell r="GF688">
            <v>0</v>
          </cell>
          <cell r="GG688">
            <v>0</v>
          </cell>
          <cell r="GH688">
            <v>0</v>
          </cell>
          <cell r="GI688">
            <v>0</v>
          </cell>
          <cell r="GJ688">
            <v>0</v>
          </cell>
          <cell r="GK688">
            <v>0</v>
          </cell>
          <cell r="GL688">
            <v>0</v>
          </cell>
          <cell r="GM688">
            <v>0</v>
          </cell>
          <cell r="GN688">
            <v>0</v>
          </cell>
          <cell r="GO688">
            <v>0</v>
          </cell>
          <cell r="GP688">
            <v>0</v>
          </cell>
          <cell r="GQ688">
            <v>0</v>
          </cell>
          <cell r="GR688">
            <v>0</v>
          </cell>
          <cell r="GS688">
            <v>0</v>
          </cell>
          <cell r="GT688">
            <v>0</v>
          </cell>
          <cell r="GU688">
            <v>0</v>
          </cell>
          <cell r="GV688">
            <v>0</v>
          </cell>
          <cell r="GW688">
            <v>0</v>
          </cell>
          <cell r="GX688">
            <v>0</v>
          </cell>
          <cell r="GY688">
            <v>0</v>
          </cell>
          <cell r="GZ688">
            <v>0</v>
          </cell>
          <cell r="HA688">
            <v>0</v>
          </cell>
          <cell r="HB688">
            <v>0</v>
          </cell>
          <cell r="HC688">
            <v>0</v>
          </cell>
          <cell r="HD688">
            <v>0</v>
          </cell>
          <cell r="HE688">
            <v>0</v>
          </cell>
          <cell r="HF688">
            <v>0</v>
          </cell>
        </row>
        <row r="690">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cell r="BX690">
            <v>0</v>
          </cell>
          <cell r="BY690">
            <v>0</v>
          </cell>
          <cell r="BZ690">
            <v>0</v>
          </cell>
          <cell r="CA690">
            <v>0</v>
          </cell>
          <cell r="CB690">
            <v>0</v>
          </cell>
          <cell r="CC690">
            <v>0</v>
          </cell>
          <cell r="CD690">
            <v>0</v>
          </cell>
          <cell r="CE690">
            <v>0</v>
          </cell>
          <cell r="CF690">
            <v>0</v>
          </cell>
          <cell r="CG690">
            <v>0</v>
          </cell>
          <cell r="CH690">
            <v>0</v>
          </cell>
          <cell r="CI690">
            <v>0</v>
          </cell>
          <cell r="CJ690">
            <v>0</v>
          </cell>
          <cell r="CK690">
            <v>0</v>
          </cell>
          <cell r="CL690">
            <v>122</v>
          </cell>
          <cell r="CM690">
            <v>0</v>
          </cell>
          <cell r="CN690">
            <v>0</v>
          </cell>
          <cell r="CO690">
            <v>0</v>
          </cell>
          <cell r="CP690">
            <v>0</v>
          </cell>
          <cell r="CQ690">
            <v>0</v>
          </cell>
          <cell r="CR690">
            <v>0</v>
          </cell>
          <cell r="CS690">
            <v>0</v>
          </cell>
          <cell r="CT690">
            <v>0</v>
          </cell>
          <cell r="CU690">
            <v>0</v>
          </cell>
          <cell r="CV690">
            <v>0</v>
          </cell>
          <cell r="CW690">
            <v>0</v>
          </cell>
          <cell r="CX690">
            <v>0</v>
          </cell>
          <cell r="CY690">
            <v>0</v>
          </cell>
          <cell r="CZ690">
            <v>0</v>
          </cell>
          <cell r="DA690">
            <v>0</v>
          </cell>
          <cell r="DB690">
            <v>0</v>
          </cell>
          <cell r="DC690">
            <v>0</v>
          </cell>
          <cell r="DD690">
            <v>0</v>
          </cell>
          <cell r="DE690">
            <v>0</v>
          </cell>
          <cell r="DF690">
            <v>0</v>
          </cell>
          <cell r="DG690">
            <v>0</v>
          </cell>
          <cell r="DH690">
            <v>0</v>
          </cell>
          <cell r="DI690">
            <v>0</v>
          </cell>
          <cell r="DJ690">
            <v>0</v>
          </cell>
          <cell r="DK690">
            <v>0</v>
          </cell>
          <cell r="DL690">
            <v>0</v>
          </cell>
          <cell r="DM690">
            <v>0</v>
          </cell>
          <cell r="DN690">
            <v>0</v>
          </cell>
          <cell r="DO690">
            <v>0</v>
          </cell>
          <cell r="DP690">
            <v>0</v>
          </cell>
          <cell r="DQ690">
            <v>0</v>
          </cell>
          <cell r="DR690">
            <v>0</v>
          </cell>
          <cell r="DS690">
            <v>0</v>
          </cell>
          <cell r="DT690">
            <v>0</v>
          </cell>
          <cell r="DU690">
            <v>0</v>
          </cell>
          <cell r="DV690">
            <v>0</v>
          </cell>
          <cell r="DW690">
            <v>0</v>
          </cell>
          <cell r="DX690">
            <v>0</v>
          </cell>
          <cell r="DY690">
            <v>0</v>
          </cell>
          <cell r="DZ690">
            <v>0</v>
          </cell>
          <cell r="EA690">
            <v>0</v>
          </cell>
          <cell r="EB690">
            <v>0</v>
          </cell>
          <cell r="EC690">
            <v>0</v>
          </cell>
          <cell r="ED690">
            <v>0</v>
          </cell>
          <cell r="EE690">
            <v>0</v>
          </cell>
          <cell r="EF690">
            <v>0</v>
          </cell>
          <cell r="EG690">
            <v>0</v>
          </cell>
          <cell r="EH690">
            <v>0</v>
          </cell>
          <cell r="EI690">
            <v>0</v>
          </cell>
          <cell r="EJ690">
            <v>0</v>
          </cell>
          <cell r="EK690">
            <v>0</v>
          </cell>
          <cell r="EL690">
            <v>0</v>
          </cell>
          <cell r="EM690">
            <v>0</v>
          </cell>
          <cell r="EN690">
            <v>0</v>
          </cell>
          <cell r="EO690">
            <v>0</v>
          </cell>
          <cell r="EP690">
            <v>0</v>
          </cell>
          <cell r="EQ690">
            <v>0</v>
          </cell>
          <cell r="ER690">
            <v>0</v>
          </cell>
          <cell r="ES690">
            <v>0</v>
          </cell>
          <cell r="ET690">
            <v>0</v>
          </cell>
          <cell r="EU690">
            <v>0</v>
          </cell>
          <cell r="EV690">
            <v>0</v>
          </cell>
          <cell r="EW690">
            <v>0</v>
          </cell>
          <cell r="EX690">
            <v>0</v>
          </cell>
          <cell r="EY690">
            <v>0</v>
          </cell>
          <cell r="EZ690">
            <v>0</v>
          </cell>
          <cell r="FA690">
            <v>0</v>
          </cell>
          <cell r="FB690">
            <v>0</v>
          </cell>
          <cell r="FC690">
            <v>0</v>
          </cell>
          <cell r="FD690">
            <v>0</v>
          </cell>
          <cell r="FE690">
            <v>0</v>
          </cell>
          <cell r="FF690">
            <v>0</v>
          </cell>
          <cell r="FG690">
            <v>0</v>
          </cell>
          <cell r="FH690">
            <v>0</v>
          </cell>
          <cell r="FI690">
            <v>0</v>
          </cell>
          <cell r="FJ690">
            <v>0</v>
          </cell>
          <cell r="FK690">
            <v>0</v>
          </cell>
          <cell r="FL690">
            <v>0</v>
          </cell>
          <cell r="FM690">
            <v>0</v>
          </cell>
          <cell r="FN690">
            <v>0</v>
          </cell>
          <cell r="FO690">
            <v>0</v>
          </cell>
          <cell r="FP690">
            <v>0</v>
          </cell>
          <cell r="FQ690">
            <v>0</v>
          </cell>
          <cell r="FR690">
            <v>0</v>
          </cell>
          <cell r="FS690">
            <v>0</v>
          </cell>
          <cell r="FT690">
            <v>0</v>
          </cell>
          <cell r="FU690">
            <v>0</v>
          </cell>
          <cell r="FV690">
            <v>0</v>
          </cell>
          <cell r="FW690">
            <v>0</v>
          </cell>
          <cell r="FX690">
            <v>0</v>
          </cell>
          <cell r="FY690">
            <v>0</v>
          </cell>
          <cell r="FZ690">
            <v>0</v>
          </cell>
          <cell r="GA690">
            <v>0</v>
          </cell>
          <cell r="GB690">
            <v>0</v>
          </cell>
          <cell r="GC690">
            <v>0</v>
          </cell>
          <cell r="GD690">
            <v>0</v>
          </cell>
          <cell r="GE690">
            <v>0</v>
          </cell>
          <cell r="GF690">
            <v>0</v>
          </cell>
          <cell r="GG690">
            <v>0</v>
          </cell>
          <cell r="GH690">
            <v>0</v>
          </cell>
          <cell r="GI690">
            <v>0</v>
          </cell>
          <cell r="GJ690">
            <v>0</v>
          </cell>
          <cell r="GK690">
            <v>0</v>
          </cell>
          <cell r="GL690">
            <v>0</v>
          </cell>
          <cell r="GM690">
            <v>0</v>
          </cell>
          <cell r="GN690">
            <v>0</v>
          </cell>
          <cell r="GO690">
            <v>0</v>
          </cell>
          <cell r="GP690">
            <v>0</v>
          </cell>
          <cell r="GQ690">
            <v>0</v>
          </cell>
          <cell r="GR690">
            <v>0</v>
          </cell>
          <cell r="GS690">
            <v>0</v>
          </cell>
          <cell r="GT690">
            <v>0</v>
          </cell>
          <cell r="GU690">
            <v>0</v>
          </cell>
          <cell r="GV690">
            <v>0</v>
          </cell>
          <cell r="GW690">
            <v>0</v>
          </cell>
          <cell r="GX690">
            <v>0</v>
          </cell>
          <cell r="GY690">
            <v>0</v>
          </cell>
          <cell r="GZ690">
            <v>0</v>
          </cell>
          <cell r="HA690">
            <v>0</v>
          </cell>
          <cell r="HB690">
            <v>0</v>
          </cell>
          <cell r="HC690">
            <v>0</v>
          </cell>
          <cell r="HD690">
            <v>0</v>
          </cell>
          <cell r="HE690">
            <v>0</v>
          </cell>
          <cell r="HF690">
            <v>0</v>
          </cell>
        </row>
        <row r="711">
          <cell r="N711">
            <v>495</v>
          </cell>
          <cell r="O711">
            <v>495</v>
          </cell>
          <cell r="P711">
            <v>495</v>
          </cell>
          <cell r="Q711">
            <v>495</v>
          </cell>
          <cell r="R711">
            <v>495</v>
          </cell>
          <cell r="S711">
            <v>495</v>
          </cell>
          <cell r="T711">
            <v>495</v>
          </cell>
          <cell r="U711">
            <v>495</v>
          </cell>
          <cell r="V711">
            <v>495</v>
          </cell>
          <cell r="W711">
            <v>495</v>
          </cell>
          <cell r="X711">
            <v>495</v>
          </cell>
          <cell r="Y711">
            <v>495</v>
          </cell>
          <cell r="Z711">
            <v>495</v>
          </cell>
          <cell r="AA711">
            <v>495</v>
          </cell>
          <cell r="AB711">
            <v>495</v>
          </cell>
          <cell r="AC711">
            <v>495</v>
          </cell>
          <cell r="AD711">
            <v>495</v>
          </cell>
          <cell r="AE711">
            <v>495</v>
          </cell>
          <cell r="AF711">
            <v>495</v>
          </cell>
          <cell r="AG711">
            <v>495</v>
          </cell>
          <cell r="AH711">
            <v>495</v>
          </cell>
          <cell r="AI711">
            <v>495</v>
          </cell>
          <cell r="AJ711">
            <v>495</v>
          </cell>
          <cell r="AK711">
            <v>495</v>
          </cell>
          <cell r="AL711">
            <v>495</v>
          </cell>
          <cell r="AM711">
            <v>495</v>
          </cell>
          <cell r="AN711">
            <v>495</v>
          </cell>
          <cell r="AO711">
            <v>495</v>
          </cell>
          <cell r="AP711">
            <v>495</v>
          </cell>
          <cell r="AQ711">
            <v>495</v>
          </cell>
          <cell r="AR711">
            <v>495</v>
          </cell>
          <cell r="AS711">
            <v>495</v>
          </cell>
          <cell r="AT711">
            <v>495</v>
          </cell>
          <cell r="AU711">
            <v>495</v>
          </cell>
          <cell r="AV711">
            <v>495</v>
          </cell>
          <cell r="AW711">
            <v>495</v>
          </cell>
          <cell r="AX711">
            <v>495</v>
          </cell>
          <cell r="AY711">
            <v>495</v>
          </cell>
          <cell r="AZ711">
            <v>495</v>
          </cell>
          <cell r="BA711">
            <v>495</v>
          </cell>
          <cell r="BB711">
            <v>495</v>
          </cell>
          <cell r="BC711">
            <v>495</v>
          </cell>
          <cell r="BD711">
            <v>495</v>
          </cell>
          <cell r="BE711">
            <v>495</v>
          </cell>
          <cell r="BF711">
            <v>495</v>
          </cell>
          <cell r="BG711">
            <v>495</v>
          </cell>
          <cell r="BH711">
            <v>495</v>
          </cell>
          <cell r="BI711">
            <v>495</v>
          </cell>
          <cell r="BJ711">
            <v>495</v>
          </cell>
          <cell r="BK711">
            <v>495</v>
          </cell>
          <cell r="BL711">
            <v>495</v>
          </cell>
          <cell r="BM711">
            <v>495</v>
          </cell>
          <cell r="BN711">
            <v>495</v>
          </cell>
          <cell r="BO711">
            <v>495</v>
          </cell>
          <cell r="BP711">
            <v>495</v>
          </cell>
          <cell r="BQ711">
            <v>495</v>
          </cell>
          <cell r="BR711">
            <v>495</v>
          </cell>
          <cell r="BS711">
            <v>495</v>
          </cell>
          <cell r="BT711">
            <v>495</v>
          </cell>
          <cell r="BU711">
            <v>495</v>
          </cell>
          <cell r="BV711">
            <v>495</v>
          </cell>
          <cell r="BW711">
            <v>495</v>
          </cell>
          <cell r="BX711">
            <v>495</v>
          </cell>
          <cell r="BY711">
            <v>495</v>
          </cell>
          <cell r="BZ711">
            <v>495</v>
          </cell>
          <cell r="CA711">
            <v>495</v>
          </cell>
          <cell r="CB711">
            <v>495</v>
          </cell>
          <cell r="CC711">
            <v>495</v>
          </cell>
          <cell r="CD711">
            <v>495</v>
          </cell>
          <cell r="CE711">
            <v>495</v>
          </cell>
          <cell r="CF711">
            <v>495</v>
          </cell>
          <cell r="CG711">
            <v>495</v>
          </cell>
          <cell r="CH711">
            <v>495</v>
          </cell>
          <cell r="CI711">
            <v>495</v>
          </cell>
          <cell r="CJ711">
            <v>495</v>
          </cell>
          <cell r="CK711">
            <v>495</v>
          </cell>
          <cell r="CL711">
            <v>495</v>
          </cell>
          <cell r="CM711">
            <v>495</v>
          </cell>
          <cell r="CN711">
            <v>495</v>
          </cell>
          <cell r="CO711">
            <v>495</v>
          </cell>
          <cell r="CP711">
            <v>495</v>
          </cell>
          <cell r="CQ711">
            <v>495</v>
          </cell>
          <cell r="CR711">
            <v>495</v>
          </cell>
          <cell r="CS711">
            <v>495</v>
          </cell>
          <cell r="CT711">
            <v>495</v>
          </cell>
          <cell r="CU711">
            <v>495</v>
          </cell>
          <cell r="CV711">
            <v>495</v>
          </cell>
          <cell r="CW711">
            <v>495</v>
          </cell>
          <cell r="CX711">
            <v>495</v>
          </cell>
          <cell r="CY711">
            <v>495</v>
          </cell>
          <cell r="CZ711">
            <v>0</v>
          </cell>
          <cell r="DA711">
            <v>0</v>
          </cell>
          <cell r="DB711">
            <v>0</v>
          </cell>
          <cell r="DC711">
            <v>0</v>
          </cell>
          <cell r="DD711">
            <v>0</v>
          </cell>
          <cell r="DE711">
            <v>0</v>
          </cell>
          <cell r="DF711">
            <v>0</v>
          </cell>
          <cell r="DG711">
            <v>0</v>
          </cell>
          <cell r="DH711">
            <v>0</v>
          </cell>
          <cell r="DI711">
            <v>0</v>
          </cell>
          <cell r="DJ711">
            <v>0</v>
          </cell>
          <cell r="DK711">
            <v>0</v>
          </cell>
          <cell r="DL711">
            <v>0</v>
          </cell>
          <cell r="DM711">
            <v>0</v>
          </cell>
          <cell r="DN711">
            <v>0</v>
          </cell>
          <cell r="DO711">
            <v>0</v>
          </cell>
          <cell r="DP711">
            <v>0</v>
          </cell>
          <cell r="DQ711">
            <v>0</v>
          </cell>
          <cell r="DR711">
            <v>0</v>
          </cell>
          <cell r="DS711">
            <v>0</v>
          </cell>
          <cell r="DT711">
            <v>0</v>
          </cell>
          <cell r="DU711">
            <v>0</v>
          </cell>
          <cell r="DV711">
            <v>0</v>
          </cell>
          <cell r="DW711">
            <v>0</v>
          </cell>
          <cell r="DX711">
            <v>0</v>
          </cell>
          <cell r="DY711">
            <v>0</v>
          </cell>
          <cell r="DZ711">
            <v>0</v>
          </cell>
          <cell r="EA711">
            <v>0</v>
          </cell>
          <cell r="EB711">
            <v>0</v>
          </cell>
          <cell r="EC711">
            <v>0</v>
          </cell>
          <cell r="ED711">
            <v>0</v>
          </cell>
          <cell r="EE711">
            <v>0</v>
          </cell>
          <cell r="EF711">
            <v>0</v>
          </cell>
          <cell r="EG711">
            <v>0</v>
          </cell>
          <cell r="EH711">
            <v>0</v>
          </cell>
          <cell r="EI711">
            <v>0</v>
          </cell>
          <cell r="EJ711">
            <v>0</v>
          </cell>
          <cell r="EK711">
            <v>0</v>
          </cell>
          <cell r="EL711">
            <v>0</v>
          </cell>
          <cell r="EM711">
            <v>0</v>
          </cell>
          <cell r="EN711">
            <v>0</v>
          </cell>
          <cell r="EO711">
            <v>0</v>
          </cell>
          <cell r="EP711">
            <v>0</v>
          </cell>
          <cell r="EQ711">
            <v>0</v>
          </cell>
          <cell r="ER711">
            <v>0</v>
          </cell>
          <cell r="ES711">
            <v>0</v>
          </cell>
          <cell r="ET711">
            <v>0</v>
          </cell>
          <cell r="EU711">
            <v>0</v>
          </cell>
          <cell r="EV711">
            <v>0</v>
          </cell>
          <cell r="EW711">
            <v>0</v>
          </cell>
          <cell r="EX711">
            <v>0</v>
          </cell>
          <cell r="EY711">
            <v>0</v>
          </cell>
          <cell r="EZ711">
            <v>0</v>
          </cell>
          <cell r="FA711">
            <v>0</v>
          </cell>
          <cell r="FB711">
            <v>0</v>
          </cell>
          <cell r="FC711">
            <v>0</v>
          </cell>
          <cell r="FD711">
            <v>0</v>
          </cell>
          <cell r="FE711">
            <v>0</v>
          </cell>
          <cell r="FF711">
            <v>0</v>
          </cell>
          <cell r="FG711">
            <v>0</v>
          </cell>
          <cell r="FH711">
            <v>0</v>
          </cell>
          <cell r="FI711">
            <v>0</v>
          </cell>
          <cell r="FJ711">
            <v>0</v>
          </cell>
          <cell r="FK711">
            <v>0</v>
          </cell>
          <cell r="FL711">
            <v>0</v>
          </cell>
          <cell r="FM711">
            <v>0</v>
          </cell>
          <cell r="FN711">
            <v>0</v>
          </cell>
          <cell r="FO711">
            <v>0</v>
          </cell>
          <cell r="FP711">
            <v>0</v>
          </cell>
          <cell r="FQ711">
            <v>0</v>
          </cell>
          <cell r="FR711">
            <v>0</v>
          </cell>
          <cell r="FS711">
            <v>0</v>
          </cell>
          <cell r="FT711">
            <v>0</v>
          </cell>
          <cell r="FU711">
            <v>0</v>
          </cell>
          <cell r="FV711">
            <v>0</v>
          </cell>
          <cell r="FW711">
            <v>0</v>
          </cell>
          <cell r="FX711">
            <v>0</v>
          </cell>
          <cell r="FY711">
            <v>0</v>
          </cell>
          <cell r="FZ711">
            <v>0</v>
          </cell>
          <cell r="GA711">
            <v>0</v>
          </cell>
          <cell r="GB711">
            <v>0</v>
          </cell>
          <cell r="GC711">
            <v>0</v>
          </cell>
          <cell r="GD711">
            <v>0</v>
          </cell>
          <cell r="GE711">
            <v>0</v>
          </cell>
          <cell r="GF711">
            <v>0</v>
          </cell>
          <cell r="GG711">
            <v>0</v>
          </cell>
          <cell r="GH711">
            <v>0</v>
          </cell>
          <cell r="GI711">
            <v>0</v>
          </cell>
          <cell r="GJ711">
            <v>0</v>
          </cell>
          <cell r="GK711">
            <v>0</v>
          </cell>
          <cell r="GL711">
            <v>0</v>
          </cell>
          <cell r="GM711">
            <v>0</v>
          </cell>
          <cell r="GN711">
            <v>0</v>
          </cell>
          <cell r="GO711">
            <v>0</v>
          </cell>
          <cell r="GP711">
            <v>0</v>
          </cell>
          <cell r="GQ711">
            <v>0</v>
          </cell>
          <cell r="GR711">
            <v>0</v>
          </cell>
          <cell r="GS711">
            <v>0</v>
          </cell>
          <cell r="GT711">
            <v>0</v>
          </cell>
          <cell r="GU711">
            <v>0</v>
          </cell>
          <cell r="GV711">
            <v>0</v>
          </cell>
          <cell r="GW711">
            <v>0</v>
          </cell>
          <cell r="GX711">
            <v>0</v>
          </cell>
          <cell r="GY711">
            <v>0</v>
          </cell>
          <cell r="GZ711">
            <v>0</v>
          </cell>
          <cell r="HA711">
            <v>0</v>
          </cell>
          <cell r="HB711">
            <v>0</v>
          </cell>
          <cell r="HC711">
            <v>0</v>
          </cell>
          <cell r="HD711">
            <v>0</v>
          </cell>
          <cell r="HE711">
            <v>0</v>
          </cell>
          <cell r="HF711">
            <v>0</v>
          </cell>
        </row>
      </sheetData>
      <sheetData sheetId="11">
        <row r="19">
          <cell r="P19">
            <v>13590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0">
          <cell r="D10" t="str">
            <v>Yes</v>
          </cell>
          <cell r="F10">
            <v>16</v>
          </cell>
          <cell r="H10">
            <v>0</v>
          </cell>
        </row>
        <row r="11">
          <cell r="D11" t="str">
            <v>No</v>
          </cell>
          <cell r="F11">
            <v>17</v>
          </cell>
          <cell r="H11">
            <v>1</v>
          </cell>
        </row>
        <row r="12">
          <cell r="F12">
            <v>18</v>
          </cell>
          <cell r="H12">
            <v>2</v>
          </cell>
        </row>
        <row r="13">
          <cell r="F13">
            <v>19</v>
          </cell>
          <cell r="H13">
            <v>3</v>
          </cell>
        </row>
        <row r="14">
          <cell r="F14">
            <v>20</v>
          </cell>
          <cell r="H14">
            <v>4</v>
          </cell>
        </row>
        <row r="15">
          <cell r="D15" t="str">
            <v>male</v>
          </cell>
          <cell r="F15">
            <v>21</v>
          </cell>
          <cell r="H15">
            <v>5</v>
          </cell>
        </row>
        <row r="16">
          <cell r="D16" t="str">
            <v>female</v>
          </cell>
          <cell r="F16">
            <v>22</v>
          </cell>
          <cell r="H16">
            <v>6</v>
          </cell>
        </row>
        <row r="17">
          <cell r="F17">
            <v>23</v>
          </cell>
          <cell r="H17">
            <v>7</v>
          </cell>
        </row>
        <row r="18">
          <cell r="F18">
            <v>24</v>
          </cell>
          <cell r="H18">
            <v>8</v>
          </cell>
        </row>
        <row r="19">
          <cell r="F19">
            <v>25</v>
          </cell>
          <cell r="H19">
            <v>9</v>
          </cell>
        </row>
        <row r="20">
          <cell r="F20">
            <v>26</v>
          </cell>
          <cell r="H20">
            <v>10</v>
          </cell>
        </row>
        <row r="21">
          <cell r="F21">
            <v>27</v>
          </cell>
          <cell r="H21">
            <v>11</v>
          </cell>
        </row>
        <row r="22">
          <cell r="F22">
            <v>28</v>
          </cell>
          <cell r="H22">
            <v>12</v>
          </cell>
        </row>
        <row r="23">
          <cell r="F23">
            <v>29</v>
          </cell>
          <cell r="H23">
            <v>13</v>
          </cell>
        </row>
        <row r="24">
          <cell r="F24">
            <v>30</v>
          </cell>
          <cell r="H24">
            <v>14</v>
          </cell>
        </row>
        <row r="25">
          <cell r="F25">
            <v>31</v>
          </cell>
          <cell r="H25">
            <v>15</v>
          </cell>
        </row>
        <row r="26">
          <cell r="F26">
            <v>32</v>
          </cell>
          <cell r="H26">
            <v>16</v>
          </cell>
        </row>
        <row r="27">
          <cell r="F27">
            <v>33</v>
          </cell>
          <cell r="H27">
            <v>17</v>
          </cell>
        </row>
        <row r="28">
          <cell r="F28">
            <v>34</v>
          </cell>
          <cell r="H28">
            <v>18</v>
          </cell>
        </row>
        <row r="29">
          <cell r="F29">
            <v>35</v>
          </cell>
          <cell r="H29">
            <v>19</v>
          </cell>
        </row>
        <row r="30">
          <cell r="F30">
            <v>36</v>
          </cell>
        </row>
        <row r="31">
          <cell r="F31">
            <v>37</v>
          </cell>
        </row>
        <row r="32">
          <cell r="F32">
            <v>38</v>
          </cell>
        </row>
        <row r="33">
          <cell r="F33">
            <v>39</v>
          </cell>
        </row>
        <row r="34">
          <cell r="F34">
            <v>40</v>
          </cell>
        </row>
        <row r="35">
          <cell r="F35">
            <v>41</v>
          </cell>
        </row>
        <row r="36">
          <cell r="F36">
            <v>42</v>
          </cell>
        </row>
        <row r="37">
          <cell r="F37">
            <v>43</v>
          </cell>
        </row>
        <row r="38">
          <cell r="F38">
            <v>44</v>
          </cell>
        </row>
        <row r="39">
          <cell r="F39">
            <v>45</v>
          </cell>
        </row>
        <row r="40">
          <cell r="F40">
            <v>46</v>
          </cell>
        </row>
        <row r="41">
          <cell r="F41">
            <v>47</v>
          </cell>
        </row>
        <row r="42">
          <cell r="F42">
            <v>48</v>
          </cell>
        </row>
        <row r="43">
          <cell r="F43">
            <v>49</v>
          </cell>
        </row>
        <row r="44">
          <cell r="F44">
            <v>50</v>
          </cell>
        </row>
        <row r="45">
          <cell r="F45">
            <v>51</v>
          </cell>
        </row>
        <row r="46">
          <cell r="F46">
            <v>52</v>
          </cell>
        </row>
        <row r="47">
          <cell r="F47">
            <v>53</v>
          </cell>
        </row>
        <row r="48">
          <cell r="F48">
            <v>54</v>
          </cell>
        </row>
        <row r="49">
          <cell r="F49">
            <v>55</v>
          </cell>
        </row>
        <row r="50">
          <cell r="F50">
            <v>56</v>
          </cell>
        </row>
        <row r="51">
          <cell r="F51">
            <v>57</v>
          </cell>
        </row>
        <row r="52">
          <cell r="F52">
            <v>58</v>
          </cell>
        </row>
        <row r="53">
          <cell r="F53">
            <v>59</v>
          </cell>
        </row>
        <row r="54">
          <cell r="F54">
            <v>60</v>
          </cell>
        </row>
        <row r="55">
          <cell r="F55">
            <v>61</v>
          </cell>
        </row>
        <row r="56">
          <cell r="F56">
            <v>62</v>
          </cell>
        </row>
        <row r="57">
          <cell r="F57">
            <v>63</v>
          </cell>
        </row>
        <row r="58">
          <cell r="F58">
            <v>64</v>
          </cell>
        </row>
        <row r="59">
          <cell r="F59">
            <v>65</v>
          </cell>
        </row>
      </sheetData>
      <sheetData sheetId="34"/>
      <sheetData sheetId="35"/>
      <sheetData sheetId="36"/>
      <sheetData sheetId="37"/>
      <sheetData sheetId="38"/>
      <sheetData sheetId="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h4Prt"/>
      <sheetName val="Ch3Prt"/>
      <sheetName val="Ch2Prt"/>
      <sheetName val="Ch1-1c Prt"/>
      <sheetName val="Ch1-1Prt"/>
      <sheetName val="Chart1"/>
      <sheetName val="Export2"/>
      <sheetName val="Export1"/>
      <sheetName val="T-2"/>
      <sheetName val="MarriagePenalty"/>
      <sheetName val="T-Marriage"/>
      <sheetName val="CountyCompare"/>
      <sheetName val="Chart2"/>
      <sheetName val="Chart3"/>
      <sheetName val="Chart4"/>
      <sheetName val="Chart5"/>
      <sheetName val="Chart6"/>
      <sheetName val="T1"/>
      <sheetName val="T2"/>
      <sheetName val="Tb2"/>
      <sheetName val="Tb1"/>
      <sheetName val="Table1"/>
      <sheetName val="Calc1"/>
      <sheetName val="Calc2"/>
      <sheetName val="Calc2b"/>
      <sheetName val="Calc2c"/>
      <sheetName val="Calc0"/>
      <sheetName val="Counties"/>
      <sheetName val="FPIG"/>
      <sheetName val="PayrollTaxes"/>
      <sheetName val="IncomeTax"/>
      <sheetName val="TaxRates"/>
      <sheetName val="ChildDepCare"/>
      <sheetName val="GAIncTax"/>
      <sheetName val="EITC"/>
      <sheetName val="ACTC"/>
      <sheetName val="TANF"/>
      <sheetName val="SSI"/>
      <sheetName val="State SSI"/>
      <sheetName val="T-SNAP"/>
      <sheetName val="SNAP"/>
      <sheetName val="SNAPBenTable"/>
      <sheetName val="T-SBP"/>
      <sheetName val="NSLP"/>
      <sheetName val="NSLP-old"/>
      <sheetName val="WIC"/>
      <sheetName val="HCV"/>
      <sheetName val="Ch-HCV"/>
      <sheetName val="HCVIncome"/>
      <sheetName val="FairMarketRent"/>
      <sheetName val="T-Chs-CAPS"/>
      <sheetName val="CAPSPayRates"/>
      <sheetName val="CAPS"/>
      <sheetName val="Medicaid"/>
      <sheetName val="PeachCare"/>
      <sheetName val="T-HIX"/>
      <sheetName val="Ch-HIX"/>
      <sheetName val="Exchange"/>
      <sheetName val="Lists"/>
      <sheetName val="Cohabiting"/>
      <sheetName val="Intervals"/>
      <sheetName val="WageConversion"/>
      <sheetName val="Chart7"/>
      <sheetName val="Chart8"/>
      <sheetName val="Chart9"/>
      <sheetName val="Chart10"/>
      <sheetName val="Chart11"/>
      <sheetName val="Chart1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71">
          <cell r="B71" t="str">
            <v>Bracket 1</v>
          </cell>
          <cell r="C71">
            <v>6000</v>
          </cell>
          <cell r="D71">
            <v>26</v>
          </cell>
          <cell r="E71">
            <v>6000</v>
          </cell>
          <cell r="F71">
            <v>26</v>
          </cell>
          <cell r="G71">
            <v>6000</v>
          </cell>
          <cell r="H71">
            <v>26</v>
          </cell>
          <cell r="I71"/>
          <cell r="J71"/>
        </row>
        <row r="72">
          <cell r="B72" t="str">
            <v>Bracket 2</v>
          </cell>
          <cell r="C72">
            <v>8000</v>
          </cell>
          <cell r="D72">
            <v>20</v>
          </cell>
          <cell r="E72">
            <v>8000</v>
          </cell>
          <cell r="F72">
            <v>20</v>
          </cell>
          <cell r="G72">
            <v>8000</v>
          </cell>
          <cell r="H72">
            <v>20</v>
          </cell>
          <cell r="I72"/>
          <cell r="J72"/>
        </row>
        <row r="73">
          <cell r="B73" t="str">
            <v>Bracket 3</v>
          </cell>
          <cell r="C73">
            <v>10000</v>
          </cell>
          <cell r="D73">
            <v>14</v>
          </cell>
          <cell r="E73">
            <v>10000</v>
          </cell>
          <cell r="F73">
            <v>14</v>
          </cell>
          <cell r="G73">
            <v>10000</v>
          </cell>
          <cell r="H73">
            <v>14</v>
          </cell>
          <cell r="I73"/>
          <cell r="J73"/>
        </row>
        <row r="74">
          <cell r="B74" t="str">
            <v>Bracket 4</v>
          </cell>
          <cell r="C74">
            <v>15000</v>
          </cell>
          <cell r="D74">
            <v>8</v>
          </cell>
          <cell r="E74">
            <v>15000</v>
          </cell>
          <cell r="F74">
            <v>8</v>
          </cell>
          <cell r="G74">
            <v>15000</v>
          </cell>
          <cell r="H74">
            <v>8</v>
          </cell>
          <cell r="I74"/>
          <cell r="J74"/>
        </row>
        <row r="75">
          <cell r="B75" t="str">
            <v>Bracket 5</v>
          </cell>
          <cell r="C75">
            <v>20000</v>
          </cell>
          <cell r="D75">
            <v>5</v>
          </cell>
          <cell r="E75">
            <v>20000</v>
          </cell>
          <cell r="F75">
            <v>5</v>
          </cell>
          <cell r="G75">
            <v>20000</v>
          </cell>
          <cell r="H75">
            <v>5</v>
          </cell>
          <cell r="I75"/>
          <cell r="J75"/>
        </row>
        <row r="76">
          <cell r="B76"/>
          <cell r="C76"/>
          <cell r="D76"/>
          <cell r="E76"/>
          <cell r="F76"/>
          <cell r="G76"/>
          <cell r="H76"/>
          <cell r="I76"/>
          <cell r="J76"/>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1C6377-64C5-45A7-89FB-151D2F4BA7C7}" name="MedicaidIncomeEligibility" displayName="MedicaidIncomeEligibility" ref="C15:L327" totalsRowShown="0" headerRowDxfId="51">
  <autoFilter ref="C15:L327" xr:uid="{0CF6C7D8-F584-470F-BA61-208098116C95}">
    <filterColumn colId="0">
      <filters>
        <filter val="Florida"/>
        <filter val="United States"/>
      </filters>
    </filterColumn>
  </autoFilter>
  <tableColumns count="10">
    <tableColumn id="1" xr3:uid="{29A4E9F3-74CF-4E43-860B-CC40C3E8CBCB}" name="State"/>
    <tableColumn id="2" xr3:uid="{94CFEC79-D0E5-43A5-8F9C-D29230815A8F}" name="Year" dataDxfId="50"/>
    <tableColumn id="3" xr3:uid="{B1FB4549-ECCD-4668-8087-AAAA4A322CD0}" name="Children Medicaid Ages 0"/>
    <tableColumn id="4" xr3:uid="{E7EE0AE3-D089-4991-84F5-A701B8770A29}" name="Children Medicaid Ages 1-5" dataDxfId="49"/>
    <tableColumn id="5" xr3:uid="{184C6C96-1302-434D-AD86-631C9065B102}" name="Children Medicaid Ages 6-18" dataDxfId="48"/>
    <tableColumn id="6" xr3:uid="{FC11CFF6-0910-4B84-AE9E-0883F09AACF9}" name="Children Separate CHIP" dataDxfId="47">
      <calculatedColumnFormula>F16</calculatedColumnFormula>
    </tableColumn>
    <tableColumn id="7" xr3:uid="{39D3E788-0131-4751-85BB-BE46B65352AD}" name="Pregnant Women Medicaid" dataDxfId="46"/>
    <tableColumn id="8" xr3:uid="{F4650A69-BAE4-44EB-8066-C1B4EB4F321A}" name="Pregnant Women CHIP" dataDxfId="45"/>
    <tableColumn id="9" xr3:uid="{ED2F844E-A0CD-4550-AE20-4487A6A87B70}" name="Adults (Medicaid) Parent/Caretaker"/>
    <tableColumn id="10" xr3:uid="{C0B830E6-F01F-43C4-A0B9-54DB303D6FEA}" name="Adults (Medicaid) Expansion to Adults" dataDxfId="4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C017B2-A888-47B4-A90E-4977F34722D1}" name="MedicaidNationalPMPMs" displayName="MedicaidNationalPMPMs" ref="C375:AC382" totalsRowShown="0">
  <autoFilter ref="C375:AC382" xr:uid="{392BB8D7-C74B-4FC6-8EEC-C41BCB37E1F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DF1CCE38-F875-4217-A0BD-247978F40C9C}" name="Group" dataDxfId="43"/>
    <tableColumn id="2" xr3:uid="{C4FBF4EA-0D0B-4D80-8A45-20C496E8542E}" name="FY 2012" dataDxfId="42"/>
    <tableColumn id="3" xr3:uid="{546F5A39-482A-46F5-A360-BC703AD15A8F}" name="FY 2013" dataDxfId="41"/>
    <tableColumn id="4" xr3:uid="{930040C2-D49C-4DC7-BEB3-A7FC58319843}" name="FY 2014" dataDxfId="40"/>
    <tableColumn id="5" xr3:uid="{8B94DB0D-4FAA-4966-96CB-1F6D04F25EC3}" name="FY 2015" dataDxfId="39"/>
    <tableColumn id="6" xr3:uid="{2AE5D834-76BA-4D39-9783-83A1E672A049}" name="FY 2016" dataDxfId="38"/>
    <tableColumn id="7" xr3:uid="{C029555D-B563-44BF-87B5-70A56BA5C210}" name="FY 2017" dataDxfId="37"/>
    <tableColumn id="8" xr3:uid="{35A291BC-53B7-4D77-8FC0-86773C7EC488}" name="FY 2018" dataDxfId="36"/>
    <tableColumn id="9" xr3:uid="{E1C9692B-0AC9-465D-B982-B4A9D96FFF01}" name="FY 2019" dataDxfId="35"/>
    <tableColumn id="10" xr3:uid="{44C58199-665C-403D-8C42-99B24F851E47}" name="FY 2020" dataDxfId="34"/>
    <tableColumn id="11" xr3:uid="{D4B0242C-5101-4A80-97D2-0F130976E908}" name="FY 2021" dataDxfId="33"/>
    <tableColumn id="17" xr3:uid="{DB9C0894-3717-4A45-AAB8-E20FE6F31597}" name="FY 2022" dataDxfId="32"/>
    <tableColumn id="18" xr3:uid="{157DA379-0E90-4C58-B0F8-04A758600248}" name="FY 2023" dataDxfId="31"/>
    <tableColumn id="19" xr3:uid="{1371CEBE-46B8-4EE6-B253-AC3B86F55322}" name="FY 2024" dataDxfId="30"/>
    <tableColumn id="20" xr3:uid="{3B534F8B-C58F-47CA-BC2D-A2558A800044}" name="FY 2025" dataDxfId="29"/>
    <tableColumn id="21" xr3:uid="{AB75483D-9D21-419A-9223-C6C4E5B6A579}" name="FY 2026" dataDxfId="28"/>
    <tableColumn id="22" xr3:uid="{CCACFFD0-3BF6-46DB-8D69-6409EF78EACF}" name="FY 2027" dataDxfId="27"/>
    <tableColumn id="12" xr3:uid="{9B0F6B35-F58D-4CDD-A57F-2CA4554F1C0F}" name="2018" dataDxfId="26">
      <calculatedColumnFormula>(J376*0.75+K376*0.25)/12</calculatedColumnFormula>
    </tableColumn>
    <tableColumn id="13" xr3:uid="{7E637C2F-2F81-4BB4-9714-6C6F92D524E6}" name="2019" dataDxfId="25">
      <calculatedColumnFormula>(K376*0.75+L376*0.25)/12</calculatedColumnFormula>
    </tableColumn>
    <tableColumn id="14" xr3:uid="{6F71742E-4D17-4D99-93DE-95D197C96DC1}" name="2020" dataDxfId="24">
      <calculatedColumnFormula>(L376*0.75+M376*0.25)/12</calculatedColumnFormula>
    </tableColumn>
    <tableColumn id="16" xr3:uid="{A2603FFD-FA63-4F0F-9666-58EEF195D5C8}" name="2021" dataDxfId="23"/>
    <tableColumn id="15" xr3:uid="{E87B2A8E-B79B-4D6B-9FDA-D67B53F12581}" name="2022" dataDxfId="22"/>
    <tableColumn id="23" xr3:uid="{1387C92D-F042-4630-AA38-627B127D69BB}" name="2023" dataDxfId="21"/>
    <tableColumn id="24" xr3:uid="{7382488A-D971-4AAE-945A-FEA77D13D3E2}" name="2024" dataDxfId="20"/>
    <tableColumn id="25" xr3:uid="{243A0F93-52BA-42B9-9F64-DB9E4ABADBBD}" name="2025" dataDxfId="19"/>
    <tableColumn id="26" xr3:uid="{B2F93D77-6A90-403B-9CC8-8B4F962A39E2}" name="2026" dataDxfId="18"/>
    <tableColumn id="27" xr3:uid="{3FD6F9B8-0A1C-48BE-9414-360676A54DDF}" name="2027"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1A05A6-AC05-4C5B-8966-672136ABA237}" name="MedicaidStatePMPMs" displayName="MedicaidStatePMPMs" ref="C403:L468" totalsRowShown="0" headerRowDxfId="16">
  <autoFilter ref="C403:L468" xr:uid="{69E99621-87F4-40DB-88B0-89A1A1C04D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FD24634-AC64-48E8-AF6B-68C9FD8E9B93}" name="State"/>
    <tableColumn id="2" xr3:uid="{0E20A06E-5917-4349-97CC-441956007E5F}" name="Group"/>
    <tableColumn id="3" xr3:uid="{85F6BB4D-B0DB-49B7-89EE-3931F0877514}" name="Category"/>
    <tableColumn id="4" xr3:uid="{3CD1886E-03A8-4C17-B22E-3553A015951B}" name="2018"/>
    <tableColumn id="5" xr3:uid="{2743C904-CBEE-4B05-A813-30F27FF0933C}" name="2019" dataDxfId="15"/>
    <tableColumn id="6" xr3:uid="{9B61064A-9969-43D1-B540-0CDCE4784149}" name="2020" dataDxfId="14"/>
    <tableColumn id="7" xr3:uid="{9AB3301C-CE49-4F05-990F-D3065E16F8C8}" name="2021" dataDxfId="13">
      <calculatedColumnFormula>MedicaidStatePMPMs[[#This Row],[2020]]*1.073</calculatedColumnFormula>
    </tableColumn>
    <tableColumn id="8" xr3:uid="{E11B4B55-A621-42DB-AC9F-3B1D4C02C6B4}" name="2022" dataDxfId="12">
      <calculatedColumnFormula>MedicaidStatePMPMs[[#This Row],[2021]]*1.043</calculatedColumnFormula>
    </tableColumn>
    <tableColumn id="9" xr3:uid="{50DB2E74-B4E6-43B8-A00A-344029939BF6}" name="2023" dataDxfId="11">
      <calculatedColumnFormula>MedicaidStatePMPMs[[#This Row],[2022]]*1.043</calculatedColumnFormula>
    </tableColumn>
    <tableColumn id="10" xr3:uid="{D53571A7-6DF6-42E6-9095-74A7CBE376B2}" name="2024" dataDxfId="10">
      <calculatedColumnFormula>MedicaidStatePMPMs[[#This Row],[2023]]*1.043</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D44457-289C-4638-9D77-B5E6566A61FF}" name="PMPM" displayName="PMPM" ref="A1:H313" totalsRowShown="0" headerRowDxfId="9" dataDxfId="8">
  <autoFilter ref="A1:H313" xr:uid="{63D44457-289C-4638-9D77-B5E6566A61FF}"/>
  <tableColumns count="8">
    <tableColumn id="1" xr3:uid="{BBBFD996-34D8-42F6-BFD5-775FD169E378}" name="State" dataDxfId="7"/>
    <tableColumn id="2" xr3:uid="{4EBDE8DF-3321-4C23-A94D-DB7C69D1E456}" name="Year" dataDxfId="6"/>
    <tableColumn id="3" xr3:uid="{F7827A66-BC05-4B20-A060-3893BA0745C4}" name=" Total" dataDxfId="5"/>
    <tableColumn id="4" xr3:uid="{9B5B94C2-C045-4F97-8E09-6F5CFBCC56BF}" name="Child" dataDxfId="4"/>
    <tableColumn id="5" xr3:uid="{4928E3AD-AC4E-4D18-B655-DFDCD15F5A51}" name="Expansion Adults" dataDxfId="3"/>
    <tableColumn id="6" xr3:uid="{6B0E96C3-FF4E-4754-9ED3-B21ED75B838C}" name="Adults" dataDxfId="2"/>
    <tableColumn id="7" xr3:uid="{B8771A3C-E873-475A-BF45-96E82956C816}" name=" Disabled" dataDxfId="1"/>
    <tableColumn id="8" xr3:uid="{1A433269-2051-45AD-8B22-F07BD1235C5F}" name=" Ag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www.medicaid.gov/medicaid/national-medicaid-chip-program-information/medicaid-childrens-health-insurance-program-basic-health-program-eligibility-levels/index.html" TargetMode="External"/><Relationship Id="rId13" Type="http://schemas.openxmlformats.org/officeDocument/2006/relationships/hyperlink" Target="https://www.medicaid.gov/medicaid/national-medicaid-chip-program-information/medicaid-childrens-health-insurance-program-basic-health-program-eligibility-levels/index.html" TargetMode="External"/><Relationship Id="rId18" Type="http://schemas.openxmlformats.org/officeDocument/2006/relationships/hyperlink" Target="https://www.medicaid.gov/medicaid/national-medicaid-chip-program-information/medicaid-childrens-health-insurance-program-basic-health-program-eligibility-levels/index.html" TargetMode="External"/><Relationship Id="rId26" Type="http://schemas.openxmlformats.org/officeDocument/2006/relationships/table" Target="../tables/table1.xml"/><Relationship Id="rId3" Type="http://schemas.openxmlformats.org/officeDocument/2006/relationships/hyperlink" Target="https://www.medicaid.gov/state-overviews/scorecard/how-much-states-spend-per-medicaid-enrollee/index.html" TargetMode="External"/><Relationship Id="rId21" Type="http://schemas.openxmlformats.org/officeDocument/2006/relationships/hyperlink" Target="https://www.medicaid.gov/medicaid/national-medicaid-chip-program-information/medicaid-childrens-health-insurance-program-basic-health-program-eligibility-levels/index.html" TargetMode="External"/><Relationship Id="rId7" Type="http://schemas.openxmlformats.org/officeDocument/2006/relationships/hyperlink" Target="https://www.medicaid.gov/medicaid/national-medicaid-chip-program-information/medicaid-childrens-health-insurance-program-basic-health-program-eligibility-levels/index.html" TargetMode="External"/><Relationship Id="rId12" Type="http://schemas.openxmlformats.org/officeDocument/2006/relationships/hyperlink" Target="https://www.medicaid.gov/medicaid/national-medicaid-chip-program-information/medicaid-childrens-health-insurance-program-basic-health-program-eligibility-levels/index.html" TargetMode="External"/><Relationship Id="rId17" Type="http://schemas.openxmlformats.org/officeDocument/2006/relationships/hyperlink" Target="https://www.medicaid.gov/medicaid/national-medicaid-chip-program-information/medicaid-childrens-health-insurance-program-basic-health-program-eligibility-levels/index.html" TargetMode="External"/><Relationship Id="rId25" Type="http://schemas.openxmlformats.org/officeDocument/2006/relationships/vmlDrawing" Target="../drawings/vmlDrawing2.vml"/><Relationship Id="rId2" Type="http://schemas.openxmlformats.org/officeDocument/2006/relationships/hyperlink" Target="https://www.cms.gov/newsroom/fact-sheets/medicaid-facts-and-figures" TargetMode="External"/><Relationship Id="rId16" Type="http://schemas.openxmlformats.org/officeDocument/2006/relationships/hyperlink" Target="https://www.medicaid.gov/medicaid/national-medicaid-chip-program-information/medicaid-childrens-health-insurance-program-basic-health-program-eligibility-levels/index.html" TargetMode="External"/><Relationship Id="rId20" Type="http://schemas.openxmlformats.org/officeDocument/2006/relationships/hyperlink" Target="https://www.medicaid.gov/medicaid/national-medicaid-chip-program-information/medicaid-childrens-health-insurance-program-basic-health-program-eligibility-levels/index.html" TargetMode="External"/><Relationship Id="rId29" Type="http://schemas.openxmlformats.org/officeDocument/2006/relationships/comments" Target="../comments2.xml"/><Relationship Id="rId1" Type="http://schemas.openxmlformats.org/officeDocument/2006/relationships/hyperlink" Target="https://medicaid.ms.gov/about/state-plan/" TargetMode="External"/><Relationship Id="rId6" Type="http://schemas.openxmlformats.org/officeDocument/2006/relationships/hyperlink" Target="https://www.medicaid.gov/medicaid/national-medicaid-chip-program-information/medicaid-childrens-health-insurance-program-basic-health-program-eligibility-levels/index.html" TargetMode="External"/><Relationship Id="rId11" Type="http://schemas.openxmlformats.org/officeDocument/2006/relationships/hyperlink" Target="https://www.medicaid.gov/medicaid/national-medicaid-chip-program-information/medicaid-childrens-health-insurance-program-basic-health-program-eligibility-levels/index.html" TargetMode="External"/><Relationship Id="rId24" Type="http://schemas.openxmlformats.org/officeDocument/2006/relationships/printerSettings" Target="../printerSettings/printerSettings1.bin"/><Relationship Id="rId5" Type="http://schemas.openxmlformats.org/officeDocument/2006/relationships/hyperlink" Target="https://www.medicaid.gov/medicaid/national-medicaid-chip-program-information/medicaid-childrens-health-insurance-program-basic-health-program-eligibility-levels/index.html" TargetMode="External"/><Relationship Id="rId15" Type="http://schemas.openxmlformats.org/officeDocument/2006/relationships/hyperlink" Target="https://www.medicaid.gov/medicaid/national-medicaid-chip-program-information/medicaid-childrens-health-insurance-program-basic-health-program-eligibility-levels/index.html" TargetMode="External"/><Relationship Id="rId23" Type="http://schemas.openxmlformats.org/officeDocument/2006/relationships/hyperlink" Target="https://www.medicaid.gov/medicaid/national-medicaid-chip-program-information/medicaid-childrens-health-insurance-program-basic-health-program-eligibility-levels/index.html" TargetMode="External"/><Relationship Id="rId28" Type="http://schemas.openxmlformats.org/officeDocument/2006/relationships/table" Target="../tables/table3.xml"/><Relationship Id="rId10" Type="http://schemas.openxmlformats.org/officeDocument/2006/relationships/hyperlink" Target="https://www.medicaid.gov/medicaid/national-medicaid-chip-program-information/medicaid-childrens-health-insurance-program-basic-health-program-eligibility-levels/index.html" TargetMode="External"/><Relationship Id="rId19" Type="http://schemas.openxmlformats.org/officeDocument/2006/relationships/hyperlink" Target="https://www.medicaid.gov/medicaid/national-medicaid-chip-program-information/medicaid-childrens-health-insurance-program-basic-health-program-eligibility-levels/index.html" TargetMode="External"/><Relationship Id="rId4" Type="http://schemas.openxmlformats.org/officeDocument/2006/relationships/hyperlink" Target="https://www.medicaid.gov/medicaid/national-medicaid-chip-program-information/medicaid-childrens-health-insurance-program-basic-health-program-eligibility-levels/index.html" TargetMode="External"/><Relationship Id="rId9" Type="http://schemas.openxmlformats.org/officeDocument/2006/relationships/hyperlink" Target="https://www.medicaid.gov/medicaid/national-medicaid-chip-program-information/medicaid-childrens-health-insurance-program-basic-health-program-eligibility-levels/index.html" TargetMode="External"/><Relationship Id="rId14" Type="http://schemas.openxmlformats.org/officeDocument/2006/relationships/hyperlink" Target="https://www.medicaid.gov/medicaid/national-medicaid-chip-program-information/medicaid-childrens-health-insurance-program-basic-health-program-eligibility-levels/index.html" TargetMode="External"/><Relationship Id="rId22" Type="http://schemas.openxmlformats.org/officeDocument/2006/relationships/hyperlink" Target="https://www.medicaid.gov/medicaid/national-medicaid-chip-program-information/medicaid-childrens-health-insurance-program-basic-health-program-eligibility-levels/index.html" TargetMode="External"/><Relationship Id="rId2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9AC8B-C1DD-463E-8138-FA54C3843C4E}">
  <sheetPr codeName="Sheet1"/>
  <dimension ref="A1:AK25"/>
  <sheetViews>
    <sheetView workbookViewId="0">
      <pane ySplit="12" topLeftCell="A13" activePane="bottomLeft" state="frozen"/>
      <selection pane="bottomLeft" activeCell="A9" sqref="A9"/>
    </sheetView>
  </sheetViews>
  <sheetFormatPr defaultColWidth="9.1796875" defaultRowHeight="14.5"/>
  <cols>
    <col min="1" max="1" width="20" style="62" customWidth="1"/>
    <col min="2" max="2" width="8" style="62" customWidth="1"/>
    <col min="3" max="35" width="9.1796875" style="62"/>
    <col min="36" max="36" width="16.7265625" style="62" bestFit="1" customWidth="1"/>
    <col min="37" max="16384" width="9.1796875" style="62"/>
  </cols>
  <sheetData>
    <row r="1" spans="1:30" ht="15.5">
      <c r="A1" s="86" t="s">
        <v>217</v>
      </c>
      <c r="B1" s="79"/>
      <c r="C1" s="79"/>
      <c r="D1" s="79"/>
      <c r="E1" s="79"/>
      <c r="F1" s="79"/>
      <c r="R1" s="87" t="s">
        <v>217</v>
      </c>
      <c r="S1" s="81"/>
      <c r="T1" s="81"/>
      <c r="U1" s="81"/>
      <c r="V1" s="81"/>
      <c r="W1" s="81"/>
      <c r="X1"/>
      <c r="Y1"/>
      <c r="Z1"/>
      <c r="AA1"/>
      <c r="AB1"/>
      <c r="AC1"/>
      <c r="AD1"/>
    </row>
    <row r="2" spans="1:30" ht="15.5">
      <c r="A2" s="86" t="s">
        <v>218</v>
      </c>
      <c r="B2" s="79"/>
      <c r="C2" s="79"/>
      <c r="D2" s="79"/>
      <c r="E2" s="79"/>
      <c r="F2" s="79"/>
      <c r="R2" s="87" t="s">
        <v>218</v>
      </c>
      <c r="S2" s="81"/>
      <c r="T2" s="81"/>
      <c r="U2" s="81"/>
      <c r="V2" s="81"/>
      <c r="W2" s="81"/>
      <c r="X2"/>
      <c r="Y2"/>
      <c r="Z2"/>
      <c r="AA2"/>
      <c r="AB2"/>
      <c r="AC2"/>
      <c r="AD2"/>
    </row>
    <row r="3" spans="1:30">
      <c r="A3" s="79"/>
      <c r="B3" s="79"/>
      <c r="C3" s="79"/>
      <c r="D3" s="79"/>
      <c r="E3" s="79"/>
      <c r="F3" s="79"/>
      <c r="R3" s="81"/>
      <c r="S3" s="81"/>
      <c r="T3" s="81"/>
      <c r="U3" s="81"/>
      <c r="V3" s="81"/>
      <c r="W3" s="81"/>
      <c r="X3"/>
      <c r="Y3"/>
      <c r="Z3"/>
      <c r="AA3"/>
      <c r="AB3"/>
      <c r="AC3"/>
      <c r="AD3"/>
    </row>
    <row r="4" spans="1:30">
      <c r="A4" s="63" t="s">
        <v>219</v>
      </c>
      <c r="B4" s="82" t="s">
        <v>220</v>
      </c>
      <c r="C4" s="79"/>
      <c r="D4" s="79"/>
      <c r="E4" s="79"/>
      <c r="F4" s="79"/>
      <c r="R4" s="64" t="s">
        <v>219</v>
      </c>
      <c r="S4" s="83" t="s">
        <v>221</v>
      </c>
      <c r="T4" s="81"/>
      <c r="U4" s="81"/>
      <c r="V4" s="81"/>
      <c r="W4" s="81"/>
      <c r="X4"/>
      <c r="Y4"/>
      <c r="Z4"/>
      <c r="AA4"/>
      <c r="AB4"/>
      <c r="AC4"/>
      <c r="AD4"/>
    </row>
    <row r="5" spans="1:30">
      <c r="A5" s="84" t="s">
        <v>222</v>
      </c>
      <c r="B5" s="79"/>
      <c r="C5" s="79"/>
      <c r="D5" s="79"/>
      <c r="E5" s="79"/>
      <c r="F5" s="79"/>
      <c r="R5" s="85" t="s">
        <v>222</v>
      </c>
      <c r="S5" s="81"/>
      <c r="T5" s="81"/>
      <c r="U5" s="81"/>
      <c r="V5" s="81"/>
      <c r="W5" s="81"/>
      <c r="X5"/>
      <c r="Y5"/>
      <c r="Z5"/>
      <c r="AA5"/>
      <c r="AB5"/>
      <c r="AC5"/>
      <c r="AD5"/>
    </row>
    <row r="6" spans="1:30" ht="26">
      <c r="A6" s="63" t="s">
        <v>223</v>
      </c>
      <c r="B6" s="82" t="s">
        <v>224</v>
      </c>
      <c r="C6" s="79"/>
      <c r="D6" s="79"/>
      <c r="E6" s="79"/>
      <c r="F6" s="79"/>
      <c r="R6" s="64" t="s">
        <v>223</v>
      </c>
      <c r="S6" s="83" t="s">
        <v>225</v>
      </c>
      <c r="T6" s="81"/>
      <c r="U6" s="81"/>
      <c r="V6" s="81"/>
      <c r="W6" s="81"/>
      <c r="X6"/>
      <c r="Y6"/>
      <c r="Z6"/>
      <c r="AA6"/>
      <c r="AB6"/>
      <c r="AC6"/>
      <c r="AD6"/>
    </row>
    <row r="7" spans="1:30">
      <c r="A7" s="63" t="s">
        <v>226</v>
      </c>
      <c r="B7" s="82" t="s">
        <v>227</v>
      </c>
      <c r="C7" s="79"/>
      <c r="D7" s="79"/>
      <c r="E7" s="79"/>
      <c r="F7" s="79"/>
      <c r="R7" s="64" t="s">
        <v>226</v>
      </c>
      <c r="S7" s="83" t="s">
        <v>227</v>
      </c>
      <c r="T7" s="81"/>
      <c r="U7" s="81"/>
      <c r="V7" s="81"/>
      <c r="W7" s="81"/>
      <c r="X7"/>
      <c r="Y7"/>
      <c r="Z7"/>
      <c r="AA7"/>
      <c r="AB7"/>
      <c r="AC7"/>
      <c r="AD7"/>
    </row>
    <row r="8" spans="1:30">
      <c r="A8" s="63" t="s">
        <v>228</v>
      </c>
      <c r="B8" s="82" t="s">
        <v>229</v>
      </c>
      <c r="C8" s="79"/>
      <c r="D8" s="79"/>
      <c r="E8" s="79"/>
      <c r="F8" s="79"/>
      <c r="R8" s="64" t="s">
        <v>228</v>
      </c>
      <c r="S8" s="83" t="s">
        <v>230</v>
      </c>
      <c r="T8" s="81"/>
      <c r="U8" s="81"/>
      <c r="V8" s="81"/>
      <c r="W8" s="81"/>
      <c r="X8"/>
      <c r="Y8"/>
      <c r="Z8"/>
      <c r="AA8"/>
      <c r="AB8"/>
      <c r="AC8"/>
      <c r="AD8"/>
    </row>
    <row r="9" spans="1:30" ht="26">
      <c r="A9" s="63" t="s">
        <v>231</v>
      </c>
      <c r="B9" s="82" t="s">
        <v>232</v>
      </c>
      <c r="C9" s="79"/>
      <c r="D9" s="79"/>
      <c r="E9" s="79"/>
      <c r="F9" s="79"/>
      <c r="R9" s="64" t="s">
        <v>231</v>
      </c>
      <c r="S9" s="83" t="s">
        <v>232</v>
      </c>
      <c r="T9" s="81"/>
      <c r="U9" s="81"/>
      <c r="V9" s="81"/>
      <c r="W9" s="81"/>
      <c r="X9"/>
      <c r="Y9"/>
      <c r="Z9"/>
      <c r="AA9"/>
      <c r="AB9"/>
      <c r="AC9"/>
      <c r="AD9"/>
    </row>
    <row r="10" spans="1:30">
      <c r="A10" s="63" t="s">
        <v>233</v>
      </c>
      <c r="B10" s="78" t="s">
        <v>234</v>
      </c>
      <c r="C10" s="79"/>
      <c r="D10" s="79"/>
      <c r="E10" s="79"/>
      <c r="F10" s="79"/>
      <c r="R10" s="64" t="s">
        <v>233</v>
      </c>
      <c r="S10" s="80" t="s">
        <v>234</v>
      </c>
      <c r="T10" s="81"/>
      <c r="U10" s="81"/>
      <c r="V10" s="81"/>
      <c r="W10" s="81"/>
      <c r="X10"/>
      <c r="Y10"/>
      <c r="Z10"/>
      <c r="AA10"/>
      <c r="AB10"/>
      <c r="AC10"/>
      <c r="AD10"/>
    </row>
    <row r="11" spans="1:30">
      <c r="R11"/>
      <c r="S11"/>
      <c r="T11"/>
      <c r="U11"/>
      <c r="V11"/>
      <c r="W11"/>
      <c r="X11"/>
      <c r="Y11"/>
      <c r="Z11"/>
      <c r="AA11"/>
      <c r="AB11"/>
      <c r="AC11"/>
      <c r="AD11"/>
    </row>
    <row r="12" spans="1:30" ht="15" thickBot="1">
      <c r="A12" s="65" t="s">
        <v>201</v>
      </c>
      <c r="B12" s="65" t="s">
        <v>235</v>
      </c>
      <c r="C12" s="65" t="s">
        <v>236</v>
      </c>
      <c r="D12" s="65" t="s">
        <v>237</v>
      </c>
      <c r="E12" s="65" t="s">
        <v>238</v>
      </c>
      <c r="F12" s="65" t="s">
        <v>239</v>
      </c>
      <c r="G12" s="65" t="s">
        <v>240</v>
      </c>
      <c r="H12" s="65" t="s">
        <v>241</v>
      </c>
      <c r="I12" s="65" t="s">
        <v>242</v>
      </c>
      <c r="J12" s="65" t="s">
        <v>243</v>
      </c>
      <c r="K12" s="65" t="s">
        <v>244</v>
      </c>
      <c r="L12" s="65" t="s">
        <v>245</v>
      </c>
      <c r="M12" s="65" t="s">
        <v>246</v>
      </c>
      <c r="O12" s="62" t="s">
        <v>247</v>
      </c>
      <c r="R12" s="66" t="s">
        <v>201</v>
      </c>
      <c r="S12" s="66" t="s">
        <v>235</v>
      </c>
      <c r="T12" s="66" t="s">
        <v>236</v>
      </c>
      <c r="U12" s="66" t="s">
        <v>237</v>
      </c>
      <c r="V12" s="66" t="s">
        <v>238</v>
      </c>
      <c r="W12" s="66" t="s">
        <v>239</v>
      </c>
      <c r="X12" s="66" t="s">
        <v>240</v>
      </c>
      <c r="Y12" s="66" t="s">
        <v>241</v>
      </c>
      <c r="Z12" s="66" t="s">
        <v>242</v>
      </c>
      <c r="AA12" s="66" t="s">
        <v>243</v>
      </c>
      <c r="AB12" s="66" t="s">
        <v>244</v>
      </c>
      <c r="AC12" s="66" t="s">
        <v>245</v>
      </c>
      <c r="AD12" s="66" t="s">
        <v>246</v>
      </c>
    </row>
    <row r="13" spans="1:30" ht="15" thickTop="1">
      <c r="A13" s="67">
        <v>2014</v>
      </c>
      <c r="B13" s="68">
        <v>175.80099999999999</v>
      </c>
      <c r="C13" s="68">
        <v>177.02600000000001</v>
      </c>
      <c r="D13" s="68">
        <v>177.38300000000001</v>
      </c>
      <c r="E13" s="68">
        <v>177.59100000000001</v>
      </c>
      <c r="F13" s="68">
        <v>177.864</v>
      </c>
      <c r="G13" s="68">
        <v>177.77600000000001</v>
      </c>
      <c r="H13" s="68">
        <v>177.864</v>
      </c>
      <c r="I13" s="68">
        <v>177.68299999999999</v>
      </c>
      <c r="J13" s="68">
        <v>177.87700000000001</v>
      </c>
      <c r="K13" s="68">
        <v>178.11600000000001</v>
      </c>
      <c r="L13" s="68">
        <v>178.61600000000001</v>
      </c>
      <c r="M13" s="68">
        <v>178.971</v>
      </c>
      <c r="R13" s="69">
        <v>2014</v>
      </c>
      <c r="S13" s="70">
        <v>166.34700000000001</v>
      </c>
      <c r="T13" s="70">
        <v>167.59700000000001</v>
      </c>
      <c r="U13" s="70">
        <v>167.76300000000001</v>
      </c>
      <c r="V13" s="70">
        <v>168.02699999999999</v>
      </c>
      <c r="W13" s="70">
        <v>168.33199999999999</v>
      </c>
      <c r="X13" s="70">
        <v>168.44499999999999</v>
      </c>
      <c r="Y13" s="70">
        <v>168.63800000000001</v>
      </c>
      <c r="Z13" s="70">
        <v>168.51400000000001</v>
      </c>
      <c r="AA13" s="70">
        <v>168.83</v>
      </c>
      <c r="AB13" s="70">
        <v>169.01</v>
      </c>
      <c r="AC13" s="70">
        <v>169.50800000000001</v>
      </c>
      <c r="AD13" s="70">
        <v>169.99299999999999</v>
      </c>
    </row>
    <row r="14" spans="1:30">
      <c r="A14" s="67">
        <v>2015</v>
      </c>
      <c r="B14" s="68">
        <v>179.709</v>
      </c>
      <c r="C14" s="68">
        <v>179.79300000000001</v>
      </c>
      <c r="D14" s="68">
        <v>180.654</v>
      </c>
      <c r="E14" s="68">
        <v>182.09399999999999</v>
      </c>
      <c r="F14" s="68">
        <v>182.26599999999999</v>
      </c>
      <c r="G14" s="68">
        <v>181.666</v>
      </c>
      <c r="H14" s="68">
        <v>181.73699999999999</v>
      </c>
      <c r="I14" s="68">
        <v>181.49100000000001</v>
      </c>
      <c r="J14" s="68">
        <v>182.00299999999999</v>
      </c>
      <c r="K14" s="68">
        <v>183.58500000000001</v>
      </c>
      <c r="L14" s="68">
        <v>184.20599999999999</v>
      </c>
      <c r="M14" s="68">
        <v>184.24299999999999</v>
      </c>
      <c r="R14" s="69">
        <v>2015</v>
      </c>
      <c r="S14" s="70">
        <v>170.60900000000001</v>
      </c>
      <c r="T14" s="70">
        <v>171.03899999999999</v>
      </c>
      <c r="U14" s="70">
        <v>171.71899999999999</v>
      </c>
      <c r="V14" s="70">
        <v>172.83799999999999</v>
      </c>
      <c r="W14" s="70">
        <v>172.99100000000001</v>
      </c>
      <c r="X14" s="70">
        <v>172.506</v>
      </c>
      <c r="Y14" s="70">
        <v>172.62799999999999</v>
      </c>
      <c r="Z14" s="70">
        <v>172.57900000000001</v>
      </c>
      <c r="AA14" s="70">
        <v>172.90899999999999</v>
      </c>
      <c r="AB14" s="70">
        <v>174.10900000000001</v>
      </c>
      <c r="AC14" s="70">
        <v>174.61199999999999</v>
      </c>
      <c r="AD14" s="70">
        <v>174.5</v>
      </c>
    </row>
    <row r="15" spans="1:30">
      <c r="A15" s="67">
        <v>2016</v>
      </c>
      <c r="B15" s="68">
        <v>185.643</v>
      </c>
      <c r="C15" s="68">
        <v>187.13</v>
      </c>
      <c r="D15" s="68">
        <v>187.256</v>
      </c>
      <c r="E15" s="68">
        <v>187.71100000000001</v>
      </c>
      <c r="F15" s="68">
        <v>188.72399999999999</v>
      </c>
      <c r="G15" s="68">
        <v>188.84200000000001</v>
      </c>
      <c r="H15" s="68">
        <v>189.511</v>
      </c>
      <c r="I15" s="68">
        <v>190.87</v>
      </c>
      <c r="J15" s="68">
        <v>190.97900000000001</v>
      </c>
      <c r="K15" s="68">
        <v>190.989</v>
      </c>
      <c r="L15" s="68">
        <v>191.33799999999999</v>
      </c>
      <c r="M15" s="68">
        <v>191.41</v>
      </c>
      <c r="R15" s="69">
        <v>2016</v>
      </c>
      <c r="S15" s="70">
        <v>175.77199999999999</v>
      </c>
      <c r="T15" s="70">
        <v>177.273</v>
      </c>
      <c r="U15" s="70">
        <v>177.43700000000001</v>
      </c>
      <c r="V15" s="70">
        <v>177.869</v>
      </c>
      <c r="W15" s="70">
        <v>178.38800000000001</v>
      </c>
      <c r="X15" s="70">
        <v>178.74</v>
      </c>
      <c r="Y15" s="70">
        <v>179.489</v>
      </c>
      <c r="Z15" s="70">
        <v>181.02799999999999</v>
      </c>
      <c r="AA15" s="70">
        <v>181.29400000000001</v>
      </c>
      <c r="AB15" s="70">
        <v>181.30199999999999</v>
      </c>
      <c r="AC15" s="70">
        <v>181.35</v>
      </c>
      <c r="AD15" s="70">
        <v>181.416</v>
      </c>
    </row>
    <row r="16" spans="1:30">
      <c r="A16" s="67">
        <v>2017</v>
      </c>
      <c r="B16" s="68">
        <v>192.249</v>
      </c>
      <c r="C16" s="68">
        <v>193.405</v>
      </c>
      <c r="D16" s="68">
        <v>193.393</v>
      </c>
      <c r="E16" s="68">
        <v>193.209</v>
      </c>
      <c r="F16" s="68">
        <v>193.12100000000001</v>
      </c>
      <c r="G16" s="68">
        <v>193.09399999999999</v>
      </c>
      <c r="H16" s="68">
        <v>193.44200000000001</v>
      </c>
      <c r="I16" s="68">
        <v>193.81</v>
      </c>
      <c r="J16" s="68">
        <v>194.08099999999999</v>
      </c>
      <c r="K16" s="68">
        <v>194.45400000000001</v>
      </c>
      <c r="L16" s="68">
        <v>194.30500000000001</v>
      </c>
      <c r="M16" s="68">
        <v>194.34</v>
      </c>
      <c r="R16" s="69">
        <v>2017</v>
      </c>
      <c r="S16" s="70">
        <v>182.28200000000001</v>
      </c>
      <c r="T16" s="70">
        <v>183.309</v>
      </c>
      <c r="U16" s="70">
        <v>183.328</v>
      </c>
      <c r="V16" s="70">
        <v>182.9</v>
      </c>
      <c r="W16" s="70">
        <v>182.86</v>
      </c>
      <c r="X16" s="70">
        <v>183.042</v>
      </c>
      <c r="Y16" s="70">
        <v>183.624</v>
      </c>
      <c r="Z16" s="70">
        <v>183.999</v>
      </c>
      <c r="AA16" s="70">
        <v>183.94200000000001</v>
      </c>
      <c r="AB16" s="70">
        <v>184.15899999999999</v>
      </c>
      <c r="AC16" s="70">
        <v>184.14699999999999</v>
      </c>
      <c r="AD16" s="70">
        <v>184.31700000000001</v>
      </c>
    </row>
    <row r="17" spans="1:37">
      <c r="A17" s="67">
        <v>2018</v>
      </c>
      <c r="B17" s="68">
        <v>195.67</v>
      </c>
      <c r="C17" s="68">
        <v>196.37</v>
      </c>
      <c r="D17" s="68">
        <v>196.971</v>
      </c>
      <c r="E17" s="68">
        <v>197.15799999999999</v>
      </c>
      <c r="F17" s="68">
        <v>197.06399999999999</v>
      </c>
      <c r="G17" s="68">
        <v>197.44</v>
      </c>
      <c r="H17" s="68">
        <v>197.346</v>
      </c>
      <c r="I17" s="68">
        <v>196.74100000000001</v>
      </c>
      <c r="J17" s="68">
        <v>197.173</v>
      </c>
      <c r="K17" s="68">
        <v>197.547</v>
      </c>
      <c r="L17" s="68">
        <v>198.14</v>
      </c>
      <c r="M17" s="68">
        <v>198.67699999999999</v>
      </c>
      <c r="R17" s="69">
        <v>2018</v>
      </c>
      <c r="S17" s="70">
        <v>185.36099999999999</v>
      </c>
      <c r="T17" s="70">
        <v>186.03200000000001</v>
      </c>
      <c r="U17" s="70">
        <v>186.483</v>
      </c>
      <c r="V17" s="70">
        <v>186.52500000000001</v>
      </c>
      <c r="W17" s="70">
        <v>186.73599999999999</v>
      </c>
      <c r="X17" s="70">
        <v>187.148</v>
      </c>
      <c r="Y17" s="70">
        <v>186.798</v>
      </c>
      <c r="Z17" s="70">
        <v>186.31700000000001</v>
      </c>
      <c r="AA17" s="70">
        <v>186.506</v>
      </c>
      <c r="AB17" s="70">
        <v>186.73</v>
      </c>
      <c r="AC17" s="70">
        <v>187.27099999999999</v>
      </c>
      <c r="AD17" s="70">
        <v>187.441</v>
      </c>
    </row>
    <row r="18" spans="1:37">
      <c r="A18" s="67">
        <v>2019</v>
      </c>
      <c r="B18" s="68">
        <v>199.81</v>
      </c>
      <c r="C18" s="68">
        <v>200.64500000000001</v>
      </c>
      <c r="D18" s="68">
        <v>200.90600000000001</v>
      </c>
      <c r="E18" s="68">
        <v>201.08799999999999</v>
      </c>
      <c r="F18" s="68">
        <v>201.91900000000001</v>
      </c>
      <c r="G18" s="68">
        <v>202.404</v>
      </c>
      <c r="H18" s="68">
        <v>203.24100000000001</v>
      </c>
      <c r="I18" s="68">
        <v>204.42699999999999</v>
      </c>
      <c r="J18" s="68">
        <v>205.03299999999999</v>
      </c>
      <c r="K18" s="68">
        <v>206.483</v>
      </c>
      <c r="L18" s="68">
        <v>207.155</v>
      </c>
      <c r="M18" s="68">
        <v>207.51599999999999</v>
      </c>
      <c r="R18" s="69">
        <v>2019</v>
      </c>
      <c r="S18" s="70">
        <v>188.41499999999999</v>
      </c>
      <c r="T18" s="70">
        <v>188.89599999999999</v>
      </c>
      <c r="U18" s="70">
        <v>189.21</v>
      </c>
      <c r="V18" s="70">
        <v>189.51300000000001</v>
      </c>
      <c r="W18" s="70">
        <v>190.15700000000001</v>
      </c>
      <c r="X18" s="70">
        <v>190.43</v>
      </c>
      <c r="Y18" s="70">
        <v>191.15799999999999</v>
      </c>
      <c r="Z18" s="70">
        <v>192.29599999999999</v>
      </c>
      <c r="AA18" s="70">
        <v>192.44900000000001</v>
      </c>
      <c r="AB18" s="70">
        <v>193.749</v>
      </c>
      <c r="AC18" s="70">
        <v>194.233</v>
      </c>
      <c r="AD18" s="70">
        <v>194.678</v>
      </c>
    </row>
    <row r="19" spans="1:37">
      <c r="A19" s="67">
        <v>2020</v>
      </c>
      <c r="B19" s="68">
        <v>208.70699999999999</v>
      </c>
      <c r="C19" s="68">
        <v>209.64099999999999</v>
      </c>
      <c r="D19" s="68">
        <v>210.279</v>
      </c>
      <c r="E19" s="68">
        <v>210.88300000000001</v>
      </c>
      <c r="F19" s="68">
        <v>211.65799999999999</v>
      </c>
      <c r="G19" s="68">
        <v>212.32300000000001</v>
      </c>
      <c r="H19" s="68">
        <v>213.148</v>
      </c>
      <c r="I19" s="68">
        <v>213.23699999999999</v>
      </c>
      <c r="J19" s="68">
        <v>213.369</v>
      </c>
      <c r="K19" s="68">
        <v>212.91499999999999</v>
      </c>
      <c r="L19" s="68">
        <v>212.84200000000001</v>
      </c>
      <c r="M19" s="68">
        <v>212.57499999999999</v>
      </c>
      <c r="P19" s="62" t="s">
        <v>248</v>
      </c>
      <c r="R19" s="69">
        <v>2020</v>
      </c>
      <c r="S19" s="70">
        <v>195.41399999999999</v>
      </c>
      <c r="T19" s="70">
        <v>196.04499999999999</v>
      </c>
      <c r="U19" s="70">
        <v>196.53100000000001</v>
      </c>
      <c r="V19" s="70">
        <v>196.899</v>
      </c>
      <c r="W19" s="70">
        <v>197.53100000000001</v>
      </c>
      <c r="X19" s="70">
        <v>198.02500000000001</v>
      </c>
      <c r="Y19" s="70">
        <v>198.661</v>
      </c>
      <c r="Z19" s="70">
        <v>198.80500000000001</v>
      </c>
      <c r="AA19" s="70">
        <v>198.67400000000001</v>
      </c>
      <c r="AB19" s="70">
        <v>198.09299999999999</v>
      </c>
      <c r="AC19" s="70">
        <v>197.83199999999999</v>
      </c>
      <c r="AD19" s="70">
        <v>197.529</v>
      </c>
      <c r="AG19" s="62" t="s">
        <v>248</v>
      </c>
      <c r="AH19" s="62" t="s">
        <v>249</v>
      </c>
      <c r="AI19" s="62" t="s">
        <v>250</v>
      </c>
      <c r="AJ19" s="71" t="s">
        <v>248</v>
      </c>
    </row>
    <row r="20" spans="1:37">
      <c r="A20" s="67">
        <v>2021</v>
      </c>
      <c r="B20" s="68">
        <v>214.46600000000001</v>
      </c>
      <c r="C20" s="68">
        <v>216.05</v>
      </c>
      <c r="D20" s="68">
        <v>216.423</v>
      </c>
      <c r="E20" s="68">
        <v>216.131</v>
      </c>
      <c r="F20" s="68">
        <v>215.874</v>
      </c>
      <c r="G20" s="68">
        <v>215.69</v>
      </c>
      <c r="H20" s="68">
        <v>216.346</v>
      </c>
      <c r="I20" s="68">
        <v>216.92599999999999</v>
      </c>
      <c r="J20" s="68">
        <v>216.643</v>
      </c>
      <c r="K20" s="68">
        <v>217.60599999999999</v>
      </c>
      <c r="L20" s="68">
        <v>218.09899999999999</v>
      </c>
      <c r="M20" s="68">
        <v>218.536</v>
      </c>
      <c r="O20" s="72">
        <f>AVERAGE(B20:M20)</f>
        <v>216.56583333333333</v>
      </c>
      <c r="R20" s="69">
        <v>2021</v>
      </c>
      <c r="S20" s="70">
        <v>198.94900000000001</v>
      </c>
      <c r="T20" s="70">
        <v>199.923</v>
      </c>
      <c r="U20" s="70">
        <v>200.21100000000001</v>
      </c>
      <c r="V20" s="70">
        <v>200.13900000000001</v>
      </c>
      <c r="W20" s="70">
        <v>199.982</v>
      </c>
      <c r="X20" s="70">
        <v>199.71799999999999</v>
      </c>
      <c r="Y20" s="70">
        <v>200.28399999999999</v>
      </c>
      <c r="Z20" s="70">
        <v>200.66</v>
      </c>
      <c r="AA20" s="70">
        <v>200.57300000000001</v>
      </c>
      <c r="AB20" s="70">
        <v>201.47800000000001</v>
      </c>
      <c r="AC20" s="70">
        <v>201.88200000000001</v>
      </c>
      <c r="AD20" s="70">
        <v>202.28299999999999</v>
      </c>
      <c r="AF20" s="72">
        <f t="shared" ref="AF20:AF21" si="0">AVERAGE(S18:AD18)</f>
        <v>191.26533333333336</v>
      </c>
      <c r="AH20" s="72">
        <f t="shared" ref="AH20:AH21" si="1">AVERAGE(AB17:AD17,S18:AA18)</f>
        <v>189.49716666666666</v>
      </c>
      <c r="AI20" s="72">
        <f t="shared" ref="AI20:AI21" si="2">AVERAGE(S18:AD18)</f>
        <v>191.26533333333336</v>
      </c>
      <c r="AJ20" s="73">
        <f t="shared" ref="AJ20:AJ21" si="3">AI20/AH$22</f>
        <v>0.95876632748414425</v>
      </c>
      <c r="AK20" s="62">
        <v>2019</v>
      </c>
    </row>
    <row r="21" spans="1:37">
      <c r="A21" s="67">
        <v>2022</v>
      </c>
      <c r="B21" s="68">
        <v>220.691</v>
      </c>
      <c r="C21" s="68">
        <v>221.53800000000001</v>
      </c>
      <c r="D21" s="68">
        <v>222.77099999999999</v>
      </c>
      <c r="E21" s="68">
        <v>223.61099999999999</v>
      </c>
      <c r="F21" s="68">
        <v>224.47900000000001</v>
      </c>
      <c r="G21" s="68">
        <v>225.72499999999999</v>
      </c>
      <c r="H21" s="68">
        <v>226.76900000000001</v>
      </c>
      <c r="I21" s="68">
        <v>228.648</v>
      </c>
      <c r="J21" s="68">
        <v>230.04900000000001</v>
      </c>
      <c r="K21" s="68">
        <v>228.91399999999999</v>
      </c>
      <c r="L21" s="68">
        <v>227.214</v>
      </c>
      <c r="M21" s="68">
        <v>226.99600000000001</v>
      </c>
      <c r="O21" s="72">
        <f>AVERAGE(B21:M21)</f>
        <v>225.61708333333331</v>
      </c>
      <c r="R21" s="69">
        <v>2022</v>
      </c>
      <c r="S21" s="70">
        <v>204.148</v>
      </c>
      <c r="T21" s="70">
        <v>204.917</v>
      </c>
      <c r="U21" s="70">
        <v>205.99299999999999</v>
      </c>
      <c r="V21" s="70">
        <v>206.67</v>
      </c>
      <c r="W21" s="70">
        <v>207.43899999999999</v>
      </c>
      <c r="X21" s="70">
        <v>208.53200000000001</v>
      </c>
      <c r="Y21" s="70">
        <v>209.56200000000001</v>
      </c>
      <c r="Z21" s="70">
        <v>211.077</v>
      </c>
      <c r="AA21" s="70">
        <v>212.05199999999999</v>
      </c>
      <c r="AB21" s="70">
        <v>211.173</v>
      </c>
      <c r="AC21" s="70">
        <v>209.97300000000001</v>
      </c>
      <c r="AD21" s="70">
        <v>209.86199999999999</v>
      </c>
      <c r="AF21" s="72">
        <f t="shared" si="0"/>
        <v>197.50325000000001</v>
      </c>
      <c r="AH21" s="72">
        <f t="shared" si="1"/>
        <v>196.60374999999999</v>
      </c>
      <c r="AI21" s="72">
        <f t="shared" si="2"/>
        <v>197.50325000000001</v>
      </c>
      <c r="AJ21" s="73">
        <f t="shared" si="3"/>
        <v>0.99003547777615808</v>
      </c>
      <c r="AK21" s="62">
        <v>2020</v>
      </c>
    </row>
    <row r="22" spans="1:37">
      <c r="A22" s="67">
        <v>2023</v>
      </c>
      <c r="B22" s="68">
        <v>226.76300000000001</v>
      </c>
      <c r="C22" s="68">
        <v>225.50200000000001</v>
      </c>
      <c r="D22" s="68">
        <v>223.90100000000001</v>
      </c>
      <c r="E22" s="68">
        <v>223.119</v>
      </c>
      <c r="F22" s="68">
        <v>222.70500000000001</v>
      </c>
      <c r="G22" s="68">
        <v>222.37799999999999</v>
      </c>
      <c r="H22" s="68">
        <v>221.63800000000001</v>
      </c>
      <c r="I22" s="68">
        <v>221.87200000000001</v>
      </c>
      <c r="J22" s="68">
        <v>222.017</v>
      </c>
      <c r="K22" s="68">
        <v>222.399</v>
      </c>
      <c r="L22" s="68">
        <v>223.184</v>
      </c>
      <c r="M22" s="68">
        <v>224.05099999999999</v>
      </c>
      <c r="O22" s="72">
        <f>AVERAGE(B22:M22)</f>
        <v>223.29408333333333</v>
      </c>
      <c r="P22" s="62">
        <f>O22/O20</f>
        <v>1.0310679200704944</v>
      </c>
      <c r="R22" s="69">
        <v>2023</v>
      </c>
      <c r="S22" s="70">
        <v>210.10300000000001</v>
      </c>
      <c r="T22" s="70">
        <v>209.22499999999999</v>
      </c>
      <c r="U22" s="70">
        <v>208.28299999999999</v>
      </c>
      <c r="V22" s="70">
        <v>207.90700000000001</v>
      </c>
      <c r="W22" s="70">
        <v>207.90799999999999</v>
      </c>
      <c r="X22" s="70">
        <v>207.81299999999999</v>
      </c>
      <c r="Y22" s="70">
        <v>207.43899999999999</v>
      </c>
      <c r="Z22" s="70">
        <v>207.827</v>
      </c>
      <c r="AA22" s="70">
        <v>207.81399999999999</v>
      </c>
      <c r="AB22" s="70">
        <v>208.256</v>
      </c>
      <c r="AC22" s="70">
        <v>209.02199999999999</v>
      </c>
      <c r="AD22" s="70">
        <v>209.637</v>
      </c>
      <c r="AF22" s="72">
        <f>AVERAGE(S20:AD20)</f>
        <v>200.50683333333336</v>
      </c>
      <c r="AH22" s="72">
        <f>AVERAGE(AB19:AD19,S20:AA20)</f>
        <v>199.49108333333331</v>
      </c>
      <c r="AI22" s="72">
        <f>AVERAGE(S20:AD20)</f>
        <v>200.50683333333336</v>
      </c>
      <c r="AJ22" s="73">
        <f>AI22/AH$22</f>
        <v>1.0050917062709155</v>
      </c>
      <c r="AK22" s="62">
        <v>2021</v>
      </c>
    </row>
    <row r="23" spans="1:37">
      <c r="A23" s="67">
        <v>2024</v>
      </c>
      <c r="B23" s="68">
        <v>226.25200000000001</v>
      </c>
      <c r="C23" s="68">
        <v>226.17500000000001</v>
      </c>
      <c r="D23" s="68">
        <v>227.48500000000001</v>
      </c>
      <c r="E23" s="68">
        <v>228.095</v>
      </c>
      <c r="F23" s="68">
        <v>228.74</v>
      </c>
      <c r="G23" s="68">
        <v>229.161</v>
      </c>
      <c r="R23" s="69">
        <v>2024</v>
      </c>
      <c r="S23" s="70">
        <v>211.07900000000001</v>
      </c>
      <c r="T23" s="70">
        <v>211.05199999999999</v>
      </c>
      <c r="U23" s="70">
        <v>212.119</v>
      </c>
      <c r="V23" s="70">
        <v>212.75299999999999</v>
      </c>
      <c r="W23" s="70">
        <v>213.74100000000001</v>
      </c>
      <c r="X23" s="70">
        <v>214.13399999999999</v>
      </c>
      <c r="Y23"/>
      <c r="Z23"/>
      <c r="AA23"/>
      <c r="AB23"/>
      <c r="AC23"/>
      <c r="AD23"/>
      <c r="AF23" s="72">
        <f>AVERAGE(S21:AD21)</f>
        <v>208.44983333333334</v>
      </c>
      <c r="AH23" s="72"/>
      <c r="AI23" s="72">
        <f>AVERAGE(S21:AD21)</f>
        <v>208.44983333333334</v>
      </c>
      <c r="AJ23" s="73">
        <f>AI23/AH$22</f>
        <v>1.0449080222048355</v>
      </c>
      <c r="AK23" s="62">
        <v>2022</v>
      </c>
    </row>
    <row r="24" spans="1:37">
      <c r="AF24" s="72">
        <f>AVERAGE(S22:AD22)</f>
        <v>208.43616666666671</v>
      </c>
      <c r="AG24" s="62">
        <f>AF24/AF22</f>
        <v>1.039546449372881</v>
      </c>
      <c r="AH24" s="72"/>
      <c r="AI24" s="72">
        <f>AVERAGE(S22:AD22)</f>
        <v>208.43616666666671</v>
      </c>
      <c r="AJ24" s="73">
        <f>AI24/AH$22</f>
        <v>1.0448395145480607</v>
      </c>
      <c r="AK24" s="62">
        <v>2023</v>
      </c>
    </row>
    <row r="25" spans="1:37">
      <c r="AH25" s="74" t="s">
        <v>251</v>
      </c>
      <c r="AI25" s="75">
        <f>(X23/S23)^(1/6)</f>
        <v>1.0023977894933045</v>
      </c>
      <c r="AJ25" s="76">
        <f>AI25^12*AJ24</f>
        <v>1.0753028379471088</v>
      </c>
      <c r="AK25" s="62">
        <v>2024</v>
      </c>
    </row>
  </sheetData>
  <mergeCells count="20">
    <mergeCell ref="A1:F1"/>
    <mergeCell ref="R1:W1"/>
    <mergeCell ref="A2:F2"/>
    <mergeCell ref="R2:W2"/>
    <mergeCell ref="A3:F3"/>
    <mergeCell ref="R3:W3"/>
    <mergeCell ref="B4:F4"/>
    <mergeCell ref="S4:W4"/>
    <mergeCell ref="A5:F5"/>
    <mergeCell ref="R5:W5"/>
    <mergeCell ref="B6:F6"/>
    <mergeCell ref="S6:W6"/>
    <mergeCell ref="B10:F10"/>
    <mergeCell ref="S10:W10"/>
    <mergeCell ref="B7:F7"/>
    <mergeCell ref="S7:W7"/>
    <mergeCell ref="B8:F8"/>
    <mergeCell ref="S8:W8"/>
    <mergeCell ref="B9:F9"/>
    <mergeCell ref="S9:W9"/>
  </mergeCells>
  <pageMargins left="0.7" right="0.7" top="0.75" bottom="0.75" header="0.3" footer="0.3"/>
  <pageSetup orientation="landscape"/>
  <headerFooter>
    <oddHeader>&amp;CBureau of Labor Statistics</oddHeader>
    <oddFooter>&amp;LSource: Bureau of Labor Statistics&amp;RGenerated on: August 2, 2024 (05:23:55 PM)</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64D43-ED56-45DF-BD3E-921A78D93E15}">
  <sheetPr codeName="Sheet22"/>
  <dimension ref="A1:AC503"/>
  <sheetViews>
    <sheetView tabSelected="1" topLeftCell="A301" zoomScale="60" zoomScaleNormal="60" workbookViewId="0">
      <selection activeCell="P311" sqref="P311"/>
    </sheetView>
  </sheetViews>
  <sheetFormatPr defaultRowHeight="14.5"/>
  <cols>
    <col min="3" max="3" width="19.54296875" customWidth="1"/>
    <col min="4" max="4" width="17.6328125" bestFit="1" customWidth="1"/>
    <col min="5" max="5" width="11.81640625" customWidth="1"/>
    <col min="6" max="6" width="9.54296875" customWidth="1"/>
    <col min="7" max="7" width="11.1796875" customWidth="1"/>
    <col min="8" max="8" width="11.36328125" customWidth="1"/>
    <col min="9" max="9" width="14.90625" customWidth="1"/>
    <col min="10" max="10" width="13.81640625" customWidth="1"/>
    <col min="11" max="11" width="16.26953125" customWidth="1"/>
    <col min="12" max="12" width="16.81640625" customWidth="1"/>
    <col min="13" max="13" width="9.54296875" customWidth="1"/>
    <col min="14" max="18" width="10.81640625" customWidth="1"/>
    <col min="19" max="19" width="10.08984375" customWidth="1"/>
    <col min="23" max="29" width="10.81640625" customWidth="1"/>
  </cols>
  <sheetData>
    <row r="1" spans="1:13">
      <c r="A1" s="1" t="s">
        <v>0</v>
      </c>
      <c r="B1" s="1" t="s">
        <v>1</v>
      </c>
    </row>
    <row r="3" spans="1:13">
      <c r="B3" s="2" t="s">
        <v>2</v>
      </c>
    </row>
    <row r="4" spans="1:13">
      <c r="C4" t="s">
        <v>3</v>
      </c>
    </row>
    <row r="5" spans="1:13">
      <c r="C5" t="s">
        <v>4</v>
      </c>
    </row>
    <row r="7" spans="1:13">
      <c r="B7" s="2" t="s">
        <v>5</v>
      </c>
    </row>
    <row r="8" spans="1:13">
      <c r="C8" t="s">
        <v>6</v>
      </c>
    </row>
    <row r="9" spans="1:13">
      <c r="C9" t="s">
        <v>7</v>
      </c>
    </row>
    <row r="10" spans="1:13">
      <c r="C10" t="s">
        <v>8</v>
      </c>
    </row>
    <row r="11" spans="1:13">
      <c r="C11" t="s">
        <v>9</v>
      </c>
      <c r="F11">
        <v>2019</v>
      </c>
      <c r="G11">
        <v>2020</v>
      </c>
      <c r="H11">
        <v>2021</v>
      </c>
      <c r="I11">
        <v>2022</v>
      </c>
      <c r="J11">
        <v>2023</v>
      </c>
    </row>
    <row r="12" spans="1:13">
      <c r="E12" t="s">
        <v>18</v>
      </c>
      <c r="F12" s="46">
        <v>43556</v>
      </c>
      <c r="G12" s="46">
        <v>43556</v>
      </c>
      <c r="H12" s="47">
        <v>44105</v>
      </c>
      <c r="I12" s="48">
        <v>44743</v>
      </c>
      <c r="J12" s="48">
        <v>44743</v>
      </c>
    </row>
    <row r="13" spans="1:13">
      <c r="B13" s="2" t="s">
        <v>10</v>
      </c>
    </row>
    <row r="14" spans="1:13">
      <c r="B14" s="2"/>
    </row>
    <row r="15" spans="1:13" ht="43.5">
      <c r="C15" s="45" t="s">
        <v>11</v>
      </c>
      <c r="D15" s="4" t="s">
        <v>201</v>
      </c>
      <c r="E15" s="4" t="s">
        <v>202</v>
      </c>
      <c r="F15" s="4" t="s">
        <v>203</v>
      </c>
      <c r="G15" s="4" t="s">
        <v>204</v>
      </c>
      <c r="H15" s="4" t="s">
        <v>205</v>
      </c>
      <c r="I15" s="4" t="s">
        <v>206</v>
      </c>
      <c r="J15" s="4" t="s">
        <v>207</v>
      </c>
      <c r="K15" s="4" t="s">
        <v>208</v>
      </c>
      <c r="L15" s="5" t="s">
        <v>209</v>
      </c>
      <c r="M15" s="6"/>
    </row>
    <row r="16" spans="1:13">
      <c r="B16" s="34"/>
      <c r="C16" s="35" t="s">
        <v>19</v>
      </c>
      <c r="D16" s="36">
        <v>2019</v>
      </c>
      <c r="E16" s="37">
        <v>1.41</v>
      </c>
      <c r="F16" s="37">
        <v>1.41</v>
      </c>
      <c r="G16" s="37">
        <v>1.41</v>
      </c>
      <c r="H16" s="37">
        <v>3.12</v>
      </c>
      <c r="I16" s="37">
        <v>1.41</v>
      </c>
      <c r="J16" s="38" t="s">
        <v>210</v>
      </c>
      <c r="K16" s="37">
        <v>0.13</v>
      </c>
      <c r="L16" s="38" t="s">
        <v>24</v>
      </c>
    </row>
    <row r="17" spans="2:12">
      <c r="B17" s="34"/>
      <c r="C17" s="35" t="s">
        <v>38</v>
      </c>
      <c r="D17" s="36">
        <v>2019</v>
      </c>
      <c r="E17" s="37">
        <v>2.0299999999999998</v>
      </c>
      <c r="F17" s="37">
        <v>2.0299999999999998</v>
      </c>
      <c r="G17" s="37">
        <v>2.0299999999999998</v>
      </c>
      <c r="H17" s="38" t="s">
        <v>210</v>
      </c>
      <c r="I17" s="37">
        <v>2</v>
      </c>
      <c r="J17" s="38" t="s">
        <v>210</v>
      </c>
      <c r="K17" s="39">
        <v>1.35</v>
      </c>
      <c r="L17" s="37">
        <v>1.33</v>
      </c>
    </row>
    <row r="18" spans="2:12">
      <c r="C18" s="35" t="s">
        <v>39</v>
      </c>
      <c r="D18" s="36">
        <v>2019</v>
      </c>
      <c r="E18" s="37">
        <v>1.47</v>
      </c>
      <c r="F18" s="37">
        <v>1.41</v>
      </c>
      <c r="G18" s="37">
        <v>1.33</v>
      </c>
      <c r="H18" s="37">
        <v>2</v>
      </c>
      <c r="I18" s="37">
        <v>1.56</v>
      </c>
      <c r="J18" s="38" t="s">
        <v>210</v>
      </c>
      <c r="K18" s="37">
        <v>1.06</v>
      </c>
      <c r="L18" s="37">
        <v>1.33</v>
      </c>
    </row>
    <row r="19" spans="2:12">
      <c r="C19" s="35" t="s">
        <v>28</v>
      </c>
      <c r="D19" s="36">
        <v>2019</v>
      </c>
      <c r="E19" s="37">
        <v>1.42</v>
      </c>
      <c r="F19" s="37">
        <v>1.42</v>
      </c>
      <c r="G19" s="37">
        <v>1.42</v>
      </c>
      <c r="H19" s="37">
        <v>2.11</v>
      </c>
      <c r="I19" s="37">
        <v>2.09</v>
      </c>
      <c r="J19" s="38" t="s">
        <v>210</v>
      </c>
      <c r="K19" s="39">
        <v>0.17</v>
      </c>
      <c r="L19" s="37">
        <v>1.33</v>
      </c>
    </row>
    <row r="20" spans="2:12">
      <c r="C20" s="35" t="s">
        <v>40</v>
      </c>
      <c r="D20" s="36">
        <v>2019</v>
      </c>
      <c r="E20" s="37">
        <v>2.61</v>
      </c>
      <c r="F20" s="37">
        <v>2.61</v>
      </c>
      <c r="G20" s="37">
        <v>2.61</v>
      </c>
      <c r="H20" s="38" t="s">
        <v>210</v>
      </c>
      <c r="I20" s="37">
        <v>2.08</v>
      </c>
      <c r="J20" s="38" t="s">
        <v>210</v>
      </c>
      <c r="K20" s="37">
        <v>1.0900000000000001</v>
      </c>
      <c r="L20" s="37">
        <v>1.33</v>
      </c>
    </row>
    <row r="21" spans="2:12">
      <c r="C21" s="35" t="s">
        <v>41</v>
      </c>
      <c r="D21" s="36">
        <v>2019</v>
      </c>
      <c r="E21" s="37">
        <v>1.42</v>
      </c>
      <c r="F21" s="37">
        <v>1.42</v>
      </c>
      <c r="G21" s="37">
        <v>1.42</v>
      </c>
      <c r="H21" s="37">
        <v>2.6</v>
      </c>
      <c r="I21" s="37">
        <v>1.95</v>
      </c>
      <c r="J21" s="37">
        <v>2.6</v>
      </c>
      <c r="K21" s="37">
        <v>0.68</v>
      </c>
      <c r="L21" s="37">
        <v>1.33</v>
      </c>
    </row>
    <row r="22" spans="2:12">
      <c r="C22" s="35" t="s">
        <v>42</v>
      </c>
      <c r="D22" s="36">
        <v>2019</v>
      </c>
      <c r="E22" s="37">
        <v>1.96</v>
      </c>
      <c r="F22" s="37">
        <v>1.96</v>
      </c>
      <c r="G22" s="37">
        <v>1.96</v>
      </c>
      <c r="H22" s="37">
        <v>3.18</v>
      </c>
      <c r="I22" s="37">
        <v>2.58</v>
      </c>
      <c r="J22" s="38" t="s">
        <v>210</v>
      </c>
      <c r="K22" s="37">
        <v>1.5</v>
      </c>
      <c r="L22" s="37">
        <v>1.33</v>
      </c>
    </row>
    <row r="23" spans="2:12">
      <c r="C23" s="35" t="s">
        <v>43</v>
      </c>
      <c r="D23" s="36">
        <v>2019</v>
      </c>
      <c r="E23" s="37">
        <v>2.12</v>
      </c>
      <c r="F23" s="37">
        <v>1.42</v>
      </c>
      <c r="G23" s="37">
        <v>1.33</v>
      </c>
      <c r="H23" s="39">
        <v>2.12</v>
      </c>
      <c r="I23" s="37">
        <v>2.12</v>
      </c>
      <c r="J23" s="38" t="s">
        <v>210</v>
      </c>
      <c r="K23" s="37">
        <v>0.87</v>
      </c>
      <c r="L23" s="37">
        <v>1.33</v>
      </c>
    </row>
    <row r="24" spans="2:12">
      <c r="C24" s="35" t="s">
        <v>44</v>
      </c>
      <c r="D24" s="36">
        <v>2019</v>
      </c>
      <c r="E24" s="37">
        <v>3.19</v>
      </c>
      <c r="F24" s="37">
        <v>3.19</v>
      </c>
      <c r="G24" s="37">
        <v>3.19</v>
      </c>
      <c r="H24" s="38" t="s">
        <v>210</v>
      </c>
      <c r="I24" s="37">
        <v>3.19</v>
      </c>
      <c r="J24" s="38" t="s">
        <v>210</v>
      </c>
      <c r="K24" s="37">
        <v>2.16</v>
      </c>
      <c r="L24" s="37">
        <v>2.1</v>
      </c>
    </row>
    <row r="25" spans="2:12">
      <c r="C25" s="35" t="s">
        <v>30</v>
      </c>
      <c r="D25" s="36">
        <v>2019</v>
      </c>
      <c r="E25" s="37">
        <v>2.06</v>
      </c>
      <c r="F25" s="37">
        <v>1.4</v>
      </c>
      <c r="G25" s="37">
        <v>1.33</v>
      </c>
      <c r="H25" s="39">
        <v>2.1</v>
      </c>
      <c r="I25" s="37">
        <v>1.91</v>
      </c>
      <c r="J25" s="38" t="s">
        <v>210</v>
      </c>
      <c r="K25" s="39">
        <v>0.28000000000000003</v>
      </c>
      <c r="L25" s="38" t="s">
        <v>24</v>
      </c>
    </row>
    <row r="26" spans="2:12">
      <c r="C26" s="35" t="s">
        <v>31</v>
      </c>
      <c r="D26" s="36">
        <v>2019</v>
      </c>
      <c r="E26" s="37">
        <v>2.0499999999999998</v>
      </c>
      <c r="F26" s="37">
        <v>1.49</v>
      </c>
      <c r="G26" s="37">
        <v>1.33</v>
      </c>
      <c r="H26" s="37">
        <v>2.4700000000000002</v>
      </c>
      <c r="I26" s="37">
        <v>2.2000000000000002</v>
      </c>
      <c r="J26" s="38" t="s">
        <v>210</v>
      </c>
      <c r="K26" s="39">
        <v>0.32</v>
      </c>
      <c r="L26" s="38" t="s">
        <v>24</v>
      </c>
    </row>
    <row r="27" spans="2:12">
      <c r="C27" s="35" t="s">
        <v>45</v>
      </c>
      <c r="D27" s="36">
        <v>2019</v>
      </c>
      <c r="E27" s="37">
        <v>3.08</v>
      </c>
      <c r="F27" s="37">
        <v>3.08</v>
      </c>
      <c r="G27" s="37">
        <v>3.08</v>
      </c>
      <c r="H27" s="38" t="s">
        <v>210</v>
      </c>
      <c r="I27" s="37">
        <v>1.91</v>
      </c>
      <c r="J27" s="38" t="s">
        <v>210</v>
      </c>
      <c r="K27" s="37">
        <v>1.05</v>
      </c>
      <c r="L27" s="37">
        <v>1.33</v>
      </c>
    </row>
    <row r="28" spans="2:12">
      <c r="C28" s="35" t="s">
        <v>46</v>
      </c>
      <c r="D28" s="36">
        <v>2019</v>
      </c>
      <c r="E28" s="37">
        <v>1.42</v>
      </c>
      <c r="F28" s="37">
        <v>1.42</v>
      </c>
      <c r="G28" s="37">
        <v>1.33</v>
      </c>
      <c r="H28" s="37">
        <v>1.85</v>
      </c>
      <c r="I28" s="37">
        <v>1.33</v>
      </c>
      <c r="J28" s="38" t="s">
        <v>210</v>
      </c>
      <c r="K28" s="39">
        <v>0.23</v>
      </c>
      <c r="L28" s="37" t="s">
        <v>24</v>
      </c>
    </row>
    <row r="29" spans="2:12">
      <c r="C29" s="35" t="s">
        <v>47</v>
      </c>
      <c r="D29" s="36">
        <v>2019</v>
      </c>
      <c r="E29" s="37">
        <v>1.42</v>
      </c>
      <c r="F29" s="37">
        <v>1.42</v>
      </c>
      <c r="G29" s="37">
        <v>1.42</v>
      </c>
      <c r="H29" s="38">
        <v>3.13</v>
      </c>
      <c r="I29" s="37">
        <v>2.08</v>
      </c>
      <c r="J29" s="38" t="s">
        <v>210</v>
      </c>
      <c r="K29" s="37">
        <v>1.33</v>
      </c>
      <c r="L29" s="37">
        <v>1.33</v>
      </c>
    </row>
    <row r="30" spans="2:12">
      <c r="C30" s="35" t="s">
        <v>48</v>
      </c>
      <c r="D30" s="36">
        <v>2019</v>
      </c>
      <c r="E30" s="37">
        <v>2.08</v>
      </c>
      <c r="F30" s="37">
        <v>1.58</v>
      </c>
      <c r="G30" s="37">
        <v>1.58</v>
      </c>
      <c r="H30" s="37">
        <v>2.5</v>
      </c>
      <c r="I30" s="37">
        <v>2.08</v>
      </c>
      <c r="J30" s="38" t="s">
        <v>210</v>
      </c>
      <c r="K30" s="39">
        <v>0.19</v>
      </c>
      <c r="L30" s="37">
        <v>1.33</v>
      </c>
    </row>
    <row r="31" spans="2:12">
      <c r="C31" s="35" t="s">
        <v>49</v>
      </c>
      <c r="D31" s="36">
        <v>2019</v>
      </c>
      <c r="E31" s="37">
        <v>3.75</v>
      </c>
      <c r="F31" s="37">
        <v>1.67</v>
      </c>
      <c r="G31" s="37">
        <v>1.67</v>
      </c>
      <c r="H31" s="39">
        <v>3.02</v>
      </c>
      <c r="I31" s="37">
        <v>3.75</v>
      </c>
      <c r="J31" s="38" t="s">
        <v>210</v>
      </c>
      <c r="K31" s="39">
        <v>0.51</v>
      </c>
      <c r="L31" s="37">
        <v>1.33</v>
      </c>
    </row>
    <row r="32" spans="2:12">
      <c r="C32" s="35" t="s">
        <v>50</v>
      </c>
      <c r="D32" s="36">
        <v>2019</v>
      </c>
      <c r="E32" s="37">
        <v>1.66</v>
      </c>
      <c r="F32" s="37">
        <v>1.49</v>
      </c>
      <c r="G32" s="37">
        <v>1.33</v>
      </c>
      <c r="H32" s="37">
        <v>2.2999999999999998</v>
      </c>
      <c r="I32" s="37">
        <v>1.66</v>
      </c>
      <c r="J32" s="38" t="s">
        <v>210</v>
      </c>
      <c r="K32" s="37">
        <v>0.33</v>
      </c>
      <c r="L32" s="38" t="s">
        <v>24</v>
      </c>
    </row>
    <row r="33" spans="3:12">
      <c r="C33" s="35" t="s">
        <v>51</v>
      </c>
      <c r="D33" s="36">
        <v>2019</v>
      </c>
      <c r="E33" s="37">
        <v>1.95</v>
      </c>
      <c r="F33" s="37">
        <v>1.59</v>
      </c>
      <c r="G33" s="37">
        <v>1.59</v>
      </c>
      <c r="H33" s="37">
        <v>2.13</v>
      </c>
      <c r="I33" s="37">
        <v>1.95</v>
      </c>
      <c r="J33" s="37" t="s">
        <v>210</v>
      </c>
      <c r="K33" s="39">
        <v>0.24</v>
      </c>
      <c r="L33" s="37">
        <v>1.33</v>
      </c>
    </row>
    <row r="34" spans="3:12">
      <c r="C34" s="35" t="s">
        <v>32</v>
      </c>
      <c r="D34" s="36">
        <v>2019</v>
      </c>
      <c r="E34" s="37">
        <v>2.12</v>
      </c>
      <c r="F34" s="37">
        <v>2.12</v>
      </c>
      <c r="G34" s="37">
        <v>2.12</v>
      </c>
      <c r="H34" s="37">
        <v>2.5</v>
      </c>
      <c r="I34" s="37">
        <v>1.33</v>
      </c>
      <c r="J34" s="38" t="s">
        <v>210</v>
      </c>
      <c r="K34" s="37">
        <v>0.19</v>
      </c>
      <c r="L34" s="37">
        <v>1.33</v>
      </c>
    </row>
    <row r="35" spans="3:12">
      <c r="C35" s="35" t="s">
        <v>52</v>
      </c>
      <c r="D35" s="36">
        <v>2019</v>
      </c>
      <c r="E35" s="37">
        <v>1.91</v>
      </c>
      <c r="F35" s="37">
        <v>1.57</v>
      </c>
      <c r="G35" s="37">
        <v>1.57</v>
      </c>
      <c r="H35" s="37">
        <v>2.08</v>
      </c>
      <c r="I35" s="37">
        <v>2.09</v>
      </c>
      <c r="J35" s="38" t="s">
        <v>210</v>
      </c>
      <c r="K35" s="37">
        <v>1</v>
      </c>
      <c r="L35" s="37" t="s">
        <v>29</v>
      </c>
    </row>
    <row r="36" spans="3:12">
      <c r="C36" s="35" t="s">
        <v>53</v>
      </c>
      <c r="D36" s="36">
        <v>2019</v>
      </c>
      <c r="E36" s="37">
        <v>3.17</v>
      </c>
      <c r="F36" s="37">
        <v>3.17</v>
      </c>
      <c r="G36" s="37">
        <v>3.17</v>
      </c>
      <c r="H36" s="38" t="s">
        <v>210</v>
      </c>
      <c r="I36" s="37">
        <v>2.59</v>
      </c>
      <c r="J36" s="38" t="s">
        <v>210</v>
      </c>
      <c r="K36" s="37">
        <v>1.23</v>
      </c>
      <c r="L36" s="37">
        <v>1.33</v>
      </c>
    </row>
    <row r="37" spans="3:12">
      <c r="C37" s="35" t="s">
        <v>54</v>
      </c>
      <c r="D37" s="36">
        <v>2019</v>
      </c>
      <c r="E37" s="37">
        <v>2</v>
      </c>
      <c r="F37" s="37">
        <v>1.5</v>
      </c>
      <c r="G37" s="37">
        <v>1.5</v>
      </c>
      <c r="H37" s="37">
        <v>3</v>
      </c>
      <c r="I37" s="37">
        <v>2</v>
      </c>
      <c r="J37" s="38" t="s">
        <v>210</v>
      </c>
      <c r="K37" s="37">
        <v>1.33</v>
      </c>
      <c r="L37" s="37">
        <v>1.33</v>
      </c>
    </row>
    <row r="38" spans="3:12">
      <c r="C38" s="35" t="s">
        <v>55</v>
      </c>
      <c r="D38" s="36">
        <v>2019</v>
      </c>
      <c r="E38" s="37">
        <v>2.12</v>
      </c>
      <c r="F38" s="37">
        <v>2.12</v>
      </c>
      <c r="G38" s="37">
        <v>2.12</v>
      </c>
      <c r="H38" s="38" t="s">
        <v>210</v>
      </c>
      <c r="I38" s="37">
        <v>1.95</v>
      </c>
      <c r="J38" s="38" t="s">
        <v>210</v>
      </c>
      <c r="K38" s="37">
        <v>0.54</v>
      </c>
      <c r="L38" s="37">
        <v>1.33</v>
      </c>
    </row>
    <row r="39" spans="3:12">
      <c r="C39" s="40" t="s">
        <v>56</v>
      </c>
      <c r="D39" s="36">
        <v>2019</v>
      </c>
      <c r="E39" s="37">
        <v>2.83</v>
      </c>
      <c r="F39" s="37">
        <v>2.75</v>
      </c>
      <c r="G39" s="37">
        <v>2.75</v>
      </c>
      <c r="H39" s="38" t="s">
        <v>210</v>
      </c>
      <c r="I39" s="37">
        <v>2.78</v>
      </c>
      <c r="J39" s="38" t="s">
        <v>210</v>
      </c>
      <c r="K39" s="37">
        <v>1.33</v>
      </c>
      <c r="L39" s="37">
        <v>2</v>
      </c>
    </row>
    <row r="40" spans="3:12">
      <c r="C40" s="40" t="s">
        <v>33</v>
      </c>
      <c r="D40" s="36">
        <v>2019</v>
      </c>
      <c r="E40" s="37">
        <v>1.94</v>
      </c>
      <c r="F40" s="37">
        <v>1.43</v>
      </c>
      <c r="G40" s="37">
        <v>1.33</v>
      </c>
      <c r="H40" s="37">
        <v>2.09</v>
      </c>
      <c r="I40" s="37">
        <v>1.94</v>
      </c>
      <c r="J40" s="38" t="s">
        <v>210</v>
      </c>
      <c r="K40" s="39">
        <v>0.23</v>
      </c>
      <c r="L40" s="38" t="s">
        <v>24</v>
      </c>
    </row>
    <row r="41" spans="3:12">
      <c r="C41" s="40" t="s">
        <v>57</v>
      </c>
      <c r="D41" s="36">
        <v>2019</v>
      </c>
      <c r="E41" s="37">
        <v>1.96</v>
      </c>
      <c r="F41" s="37">
        <v>1.5</v>
      </c>
      <c r="G41" s="37">
        <v>1.5</v>
      </c>
      <c r="H41" s="37">
        <v>3</v>
      </c>
      <c r="I41" s="37">
        <v>1.96</v>
      </c>
      <c r="J41" s="37">
        <v>3</v>
      </c>
      <c r="K41" s="37">
        <v>0.17</v>
      </c>
      <c r="L41" s="37" t="s">
        <v>24</v>
      </c>
    </row>
    <row r="42" spans="3:12">
      <c r="C42" s="40" t="s">
        <v>58</v>
      </c>
      <c r="D42" s="36">
        <v>2019</v>
      </c>
      <c r="E42" s="37">
        <v>1.43</v>
      </c>
      <c r="F42" s="37">
        <v>1.43</v>
      </c>
      <c r="G42" s="37">
        <v>1.43</v>
      </c>
      <c r="H42" s="37">
        <v>2.61</v>
      </c>
      <c r="I42" s="37">
        <v>1.57</v>
      </c>
      <c r="J42" s="38" t="s">
        <v>210</v>
      </c>
      <c r="K42" s="37">
        <v>0.24</v>
      </c>
      <c r="L42" s="37">
        <v>1.33</v>
      </c>
    </row>
    <row r="43" spans="3:12">
      <c r="C43" s="40" t="s">
        <v>59</v>
      </c>
      <c r="D43" s="36">
        <v>2019</v>
      </c>
      <c r="E43" s="37">
        <v>2.13</v>
      </c>
      <c r="F43" s="37">
        <v>2.13</v>
      </c>
      <c r="G43" s="37">
        <v>2.13</v>
      </c>
      <c r="H43" s="38" t="s">
        <v>210</v>
      </c>
      <c r="I43" s="37">
        <v>1.94</v>
      </c>
      <c r="J43" s="38" t="s">
        <v>210</v>
      </c>
      <c r="K43" s="37">
        <v>0.57999999999999996</v>
      </c>
      <c r="L43" s="37" t="s">
        <v>24</v>
      </c>
    </row>
    <row r="44" spans="3:12">
      <c r="C44" s="40" t="s">
        <v>60</v>
      </c>
      <c r="D44" s="36">
        <v>2019</v>
      </c>
      <c r="E44" s="37">
        <v>1.6</v>
      </c>
      <c r="F44" s="37">
        <v>1.6</v>
      </c>
      <c r="G44" s="37">
        <v>1.33</v>
      </c>
      <c r="H44" s="37">
        <v>2</v>
      </c>
      <c r="I44" s="37">
        <v>1.6</v>
      </c>
      <c r="J44" s="38" t="s">
        <v>210</v>
      </c>
      <c r="K44" s="39">
        <v>0.31</v>
      </c>
      <c r="L44" s="37">
        <v>1.33</v>
      </c>
    </row>
    <row r="45" spans="3:12">
      <c r="C45" s="40" t="s">
        <v>61</v>
      </c>
      <c r="D45" s="36">
        <v>2019</v>
      </c>
      <c r="E45" s="37">
        <v>3.18</v>
      </c>
      <c r="F45" s="37">
        <v>3.18</v>
      </c>
      <c r="G45" s="37">
        <v>3.18</v>
      </c>
      <c r="H45" s="38" t="s">
        <v>210</v>
      </c>
      <c r="I45" s="37">
        <v>1.96</v>
      </c>
      <c r="J45" s="38" t="s">
        <v>210</v>
      </c>
      <c r="K45" s="39">
        <v>0.64</v>
      </c>
      <c r="L45" s="37">
        <v>1.33</v>
      </c>
    </row>
    <row r="46" spans="3:12">
      <c r="C46" s="40" t="s">
        <v>62</v>
      </c>
      <c r="D46" s="36">
        <v>2019</v>
      </c>
      <c r="E46" s="37">
        <v>1.94</v>
      </c>
      <c r="F46" s="37">
        <v>1.42</v>
      </c>
      <c r="G46" s="37">
        <v>1.42</v>
      </c>
      <c r="H46" s="37">
        <v>3.5</v>
      </c>
      <c r="I46" s="37">
        <v>1.94</v>
      </c>
      <c r="J46" s="37">
        <v>2</v>
      </c>
      <c r="K46" s="39">
        <v>0.3</v>
      </c>
      <c r="L46" s="37">
        <v>1.33</v>
      </c>
    </row>
    <row r="47" spans="3:12">
      <c r="C47" s="40" t="s">
        <v>63</v>
      </c>
      <c r="D47" s="36">
        <v>2019</v>
      </c>
      <c r="E47" s="37">
        <v>3</v>
      </c>
      <c r="F47" s="37">
        <v>3</v>
      </c>
      <c r="G47" s="37">
        <v>2.4</v>
      </c>
      <c r="H47" s="38" t="s">
        <v>210</v>
      </c>
      <c r="I47" s="37">
        <v>2.5</v>
      </c>
      <c r="J47" s="38" t="s">
        <v>210</v>
      </c>
      <c r="K47" s="39">
        <v>0.43</v>
      </c>
      <c r="L47" s="37">
        <v>1.33</v>
      </c>
    </row>
    <row r="48" spans="3:12">
      <c r="C48" s="40" t="s">
        <v>64</v>
      </c>
      <c r="D48" s="36">
        <v>2019</v>
      </c>
      <c r="E48" s="37">
        <v>2.1800000000000002</v>
      </c>
      <c r="F48" s="37">
        <v>1.49</v>
      </c>
      <c r="G48" s="37">
        <v>1.49</v>
      </c>
      <c r="H48" s="37">
        <v>4</v>
      </c>
      <c r="I48" s="37">
        <v>2.1800000000000002</v>
      </c>
      <c r="J48" s="38" t="s">
        <v>210</v>
      </c>
      <c r="K48" s="37">
        <v>1.33</v>
      </c>
      <c r="L48" s="37">
        <v>2</v>
      </c>
    </row>
    <row r="49" spans="3:12">
      <c r="C49" s="40" t="s">
        <v>34</v>
      </c>
      <c r="D49" s="36">
        <v>2019</v>
      </c>
      <c r="E49" s="37">
        <v>2.1</v>
      </c>
      <c r="F49" s="37">
        <v>2.1</v>
      </c>
      <c r="G49" s="37">
        <v>1.33</v>
      </c>
      <c r="H49" s="39">
        <v>2.11</v>
      </c>
      <c r="I49" s="37">
        <v>1.96</v>
      </c>
      <c r="J49" s="38" t="s">
        <v>210</v>
      </c>
      <c r="K49" s="39">
        <v>0.42</v>
      </c>
      <c r="L49" s="38" t="s">
        <v>24</v>
      </c>
    </row>
    <row r="50" spans="3:12">
      <c r="C50" s="40" t="s">
        <v>65</v>
      </c>
      <c r="D50" s="36">
        <v>2019</v>
      </c>
      <c r="E50" s="37">
        <v>1.47</v>
      </c>
      <c r="F50" s="37">
        <v>1.47</v>
      </c>
      <c r="G50" s="37">
        <v>1.33</v>
      </c>
      <c r="H50" s="39">
        <v>1.7</v>
      </c>
      <c r="I50" s="37">
        <v>1.47</v>
      </c>
      <c r="J50" s="38" t="s">
        <v>210</v>
      </c>
      <c r="K50" s="39">
        <v>0.5</v>
      </c>
      <c r="L50" s="37">
        <v>1.33</v>
      </c>
    </row>
    <row r="51" spans="3:12">
      <c r="C51" s="40" t="s">
        <v>66</v>
      </c>
      <c r="D51" s="36">
        <v>2019</v>
      </c>
      <c r="E51" s="37">
        <v>2.06</v>
      </c>
      <c r="F51" s="37">
        <v>2.06</v>
      </c>
      <c r="G51" s="37">
        <v>2.06</v>
      </c>
      <c r="H51" s="38" t="s">
        <v>210</v>
      </c>
      <c r="I51" s="37">
        <v>2</v>
      </c>
      <c r="J51" s="38" t="s">
        <v>210</v>
      </c>
      <c r="K51" s="37">
        <v>0.9</v>
      </c>
      <c r="L51" s="37">
        <v>1.33</v>
      </c>
    </row>
    <row r="52" spans="3:12">
      <c r="C52" s="40" t="s">
        <v>67</v>
      </c>
      <c r="D52" s="36">
        <v>2019</v>
      </c>
      <c r="E52" s="37">
        <v>2.0499999999999998</v>
      </c>
      <c r="F52" s="37">
        <v>2.0499999999999998</v>
      </c>
      <c r="G52" s="37">
        <v>2.0499999999999998</v>
      </c>
      <c r="H52" s="38" t="s">
        <v>210</v>
      </c>
      <c r="I52" s="37">
        <v>1.33</v>
      </c>
      <c r="J52" s="38" t="s">
        <v>210</v>
      </c>
      <c r="K52" s="39">
        <v>0.39</v>
      </c>
      <c r="L52" s="37" t="s">
        <v>24</v>
      </c>
    </row>
    <row r="53" spans="3:12">
      <c r="C53" s="40" t="s">
        <v>68</v>
      </c>
      <c r="D53" s="36">
        <v>2019</v>
      </c>
      <c r="E53" s="37">
        <v>1.85</v>
      </c>
      <c r="F53" s="37">
        <v>1.33</v>
      </c>
      <c r="G53" s="37">
        <v>1.33</v>
      </c>
      <c r="H53" s="37">
        <v>3</v>
      </c>
      <c r="I53" s="37">
        <v>1.85</v>
      </c>
      <c r="J53" s="38" t="s">
        <v>210</v>
      </c>
      <c r="K53" s="39">
        <v>0.38</v>
      </c>
      <c r="L53" s="37">
        <v>1.33</v>
      </c>
    </row>
    <row r="54" spans="3:12">
      <c r="C54" s="40" t="s">
        <v>69</v>
      </c>
      <c r="D54" s="36">
        <v>2019</v>
      </c>
      <c r="E54" s="37">
        <v>2.15</v>
      </c>
      <c r="F54" s="37">
        <v>1.57</v>
      </c>
      <c r="G54" s="37">
        <v>1.33</v>
      </c>
      <c r="H54" s="37">
        <v>3.14</v>
      </c>
      <c r="I54" s="37">
        <v>2.15</v>
      </c>
      <c r="J54" s="38" t="s">
        <v>210</v>
      </c>
      <c r="K54" s="37">
        <v>0.33</v>
      </c>
      <c r="L54" s="37">
        <v>1.33</v>
      </c>
    </row>
    <row r="55" spans="3:12">
      <c r="C55" s="40" t="s">
        <v>70</v>
      </c>
      <c r="D55" s="36">
        <v>2019</v>
      </c>
      <c r="E55" s="37">
        <v>2.61</v>
      </c>
      <c r="F55" s="37">
        <v>2.61</v>
      </c>
      <c r="G55" s="37">
        <v>2.61</v>
      </c>
      <c r="H55" s="38" t="s">
        <v>210</v>
      </c>
      <c r="I55" s="37">
        <v>1.9</v>
      </c>
      <c r="J55" s="37">
        <v>2.5299999999999998</v>
      </c>
      <c r="K55" s="37">
        <v>1.1599999999999999</v>
      </c>
      <c r="L55" s="37">
        <v>1.33</v>
      </c>
    </row>
    <row r="56" spans="3:12">
      <c r="C56" s="40" t="s">
        <v>35</v>
      </c>
      <c r="D56" s="36">
        <v>2019</v>
      </c>
      <c r="E56" s="37">
        <v>2.08</v>
      </c>
      <c r="F56" s="37">
        <v>2.08</v>
      </c>
      <c r="G56" s="37">
        <v>2.08</v>
      </c>
      <c r="H56" s="38" t="s">
        <v>210</v>
      </c>
      <c r="I56" s="37">
        <v>1.94</v>
      </c>
      <c r="J56" s="38" t="s">
        <v>210</v>
      </c>
      <c r="K56" s="37">
        <v>0.62</v>
      </c>
      <c r="L56" s="38" t="s">
        <v>24</v>
      </c>
    </row>
    <row r="57" spans="3:12">
      <c r="C57" s="40" t="s">
        <v>71</v>
      </c>
      <c r="D57" s="36">
        <v>2019</v>
      </c>
      <c r="E57" s="37">
        <v>1.82</v>
      </c>
      <c r="F57" s="37">
        <v>1.82</v>
      </c>
      <c r="G57" s="37">
        <v>1.82</v>
      </c>
      <c r="H57" s="37">
        <v>2.04</v>
      </c>
      <c r="I57" s="37">
        <v>1.33</v>
      </c>
      <c r="J57" s="38" t="s">
        <v>210</v>
      </c>
      <c r="K57" s="39">
        <v>0.54</v>
      </c>
      <c r="L57" s="38" t="s">
        <v>24</v>
      </c>
    </row>
    <row r="58" spans="3:12">
      <c r="C58" s="40" t="s">
        <v>36</v>
      </c>
      <c r="D58" s="36">
        <v>2019</v>
      </c>
      <c r="E58" s="37">
        <v>1.95</v>
      </c>
      <c r="F58" s="37">
        <v>1.42</v>
      </c>
      <c r="G58" s="37">
        <v>1.33</v>
      </c>
      <c r="H58" s="37">
        <v>2.5</v>
      </c>
      <c r="I58" s="37">
        <v>1.95</v>
      </c>
      <c r="J58" s="38" t="s">
        <v>210</v>
      </c>
      <c r="K58" s="39">
        <v>0.98</v>
      </c>
      <c r="L58" s="38" t="s">
        <v>24</v>
      </c>
    </row>
    <row r="59" spans="3:12">
      <c r="C59" s="40" t="s">
        <v>37</v>
      </c>
      <c r="D59" s="36">
        <v>2019</v>
      </c>
      <c r="E59" s="37">
        <v>1.98</v>
      </c>
      <c r="F59" s="37">
        <v>1.44</v>
      </c>
      <c r="G59" s="37">
        <v>1.33</v>
      </c>
      <c r="H59" s="37">
        <v>2.0099999999999998</v>
      </c>
      <c r="I59" s="37">
        <v>1.98</v>
      </c>
      <c r="J59" s="38" t="s">
        <v>210</v>
      </c>
      <c r="K59" s="39">
        <v>0.15</v>
      </c>
      <c r="L59" s="38" t="s">
        <v>24</v>
      </c>
    </row>
    <row r="60" spans="3:12">
      <c r="C60" s="40" t="s">
        <v>72</v>
      </c>
      <c r="D60" s="36">
        <v>2019</v>
      </c>
      <c r="E60" s="37">
        <v>1.39</v>
      </c>
      <c r="F60" s="37">
        <v>1.39</v>
      </c>
      <c r="G60" s="37">
        <v>1.33</v>
      </c>
      <c r="H60" s="37">
        <v>2</v>
      </c>
      <c r="I60" s="37">
        <v>1.39</v>
      </c>
      <c r="J60" s="38" t="s">
        <v>210</v>
      </c>
      <c r="K60" s="39">
        <v>0.42</v>
      </c>
      <c r="L60" s="37">
        <v>0.95</v>
      </c>
    </row>
    <row r="61" spans="3:12">
      <c r="C61" s="40" t="s">
        <v>73</v>
      </c>
      <c r="D61" s="36">
        <v>2019</v>
      </c>
      <c r="E61" s="37">
        <v>3.12</v>
      </c>
      <c r="F61" s="37">
        <v>3.12</v>
      </c>
      <c r="G61" s="37">
        <v>3.12</v>
      </c>
      <c r="H61" s="38" t="s">
        <v>210</v>
      </c>
      <c r="I61" s="37">
        <v>2.08</v>
      </c>
      <c r="J61" s="38" t="s">
        <v>210</v>
      </c>
      <c r="K61" s="39">
        <v>0.52</v>
      </c>
      <c r="L61" s="37">
        <v>1.33</v>
      </c>
    </row>
    <row r="62" spans="3:12">
      <c r="C62" s="40" t="s">
        <v>74</v>
      </c>
      <c r="D62" s="36">
        <v>2019</v>
      </c>
      <c r="E62" s="37">
        <v>1.43</v>
      </c>
      <c r="F62" s="37">
        <v>1.43</v>
      </c>
      <c r="G62" s="37">
        <v>1.43</v>
      </c>
      <c r="H62" s="37">
        <v>2</v>
      </c>
      <c r="I62" s="37">
        <v>1.43</v>
      </c>
      <c r="J62" s="37">
        <v>2</v>
      </c>
      <c r="K62" s="39">
        <v>0.47</v>
      </c>
      <c r="L62" s="37" t="s">
        <v>29</v>
      </c>
    </row>
    <row r="63" spans="3:12">
      <c r="C63" s="40" t="s">
        <v>75</v>
      </c>
      <c r="D63" s="36">
        <v>2019</v>
      </c>
      <c r="E63" s="37">
        <v>2.1</v>
      </c>
      <c r="F63" s="37">
        <v>2.1</v>
      </c>
      <c r="G63" s="37">
        <v>2.1</v>
      </c>
      <c r="H63" s="37">
        <v>3.12</v>
      </c>
      <c r="I63" s="37">
        <v>1.93</v>
      </c>
      <c r="J63" s="38" t="s">
        <v>210</v>
      </c>
      <c r="K63" s="39">
        <v>0.4</v>
      </c>
      <c r="L63" s="37">
        <v>1.33</v>
      </c>
    </row>
    <row r="64" spans="3:12">
      <c r="C64" s="40" t="s">
        <v>76</v>
      </c>
      <c r="D64" s="36">
        <v>2019</v>
      </c>
      <c r="E64" s="37">
        <v>1.58</v>
      </c>
      <c r="F64" s="37">
        <v>1.41</v>
      </c>
      <c r="G64" s="37">
        <v>1.33</v>
      </c>
      <c r="H64" s="37">
        <v>3</v>
      </c>
      <c r="I64" s="37">
        <v>1.58</v>
      </c>
      <c r="J64" s="37" t="s">
        <v>210</v>
      </c>
      <c r="K64" s="39">
        <v>0.18</v>
      </c>
      <c r="L64" s="37">
        <v>1.33</v>
      </c>
    </row>
    <row r="65" spans="3:12">
      <c r="C65" s="40" t="s">
        <v>77</v>
      </c>
      <c r="D65" s="36">
        <v>2019</v>
      </c>
      <c r="E65" s="37">
        <v>3.01</v>
      </c>
      <c r="F65" s="37">
        <v>1.86</v>
      </c>
      <c r="G65" s="37">
        <v>1.51</v>
      </c>
      <c r="H65" s="39">
        <v>3.01</v>
      </c>
      <c r="I65" s="37">
        <v>3.01</v>
      </c>
      <c r="J65" s="38" t="s">
        <v>210</v>
      </c>
      <c r="K65" s="39">
        <v>0.95</v>
      </c>
      <c r="L65" s="38" t="s">
        <v>24</v>
      </c>
    </row>
    <row r="66" spans="3:12">
      <c r="C66" s="40" t="s">
        <v>78</v>
      </c>
      <c r="D66" s="36">
        <v>2019</v>
      </c>
      <c r="E66" s="37">
        <v>1.54</v>
      </c>
      <c r="F66" s="37">
        <v>1.54</v>
      </c>
      <c r="G66" s="37">
        <v>1.33</v>
      </c>
      <c r="H66" s="39">
        <v>2</v>
      </c>
      <c r="I66" s="37">
        <v>1.54</v>
      </c>
      <c r="J66" s="38" t="s">
        <v>210</v>
      </c>
      <c r="K66" s="39">
        <v>0.52</v>
      </c>
      <c r="L66" s="38" t="s">
        <v>24</v>
      </c>
    </row>
    <row r="67" spans="3:12">
      <c r="C67" s="40" t="s">
        <v>253</v>
      </c>
      <c r="D67" s="36">
        <v>2019</v>
      </c>
      <c r="E67" s="37">
        <v>2.13</v>
      </c>
      <c r="F67" s="37">
        <v>1.855</v>
      </c>
      <c r="G67" s="37">
        <v>1.7909999999999999</v>
      </c>
      <c r="H67" s="39">
        <v>1.861</v>
      </c>
      <c r="I67" s="37">
        <v>2.0230000000000001</v>
      </c>
      <c r="J67" s="38" t="s">
        <v>210</v>
      </c>
      <c r="K67" s="39">
        <v>0.71899999999999997</v>
      </c>
      <c r="L67" s="39">
        <v>1.33</v>
      </c>
    </row>
    <row r="68" spans="3:12">
      <c r="C68" s="41" t="s">
        <v>19</v>
      </c>
      <c r="D68" s="42">
        <v>2020</v>
      </c>
      <c r="E68" s="43">
        <v>1.41</v>
      </c>
      <c r="F68" s="43">
        <v>1.41</v>
      </c>
      <c r="G68" s="43">
        <v>1.41</v>
      </c>
      <c r="H68" s="43">
        <v>3.12</v>
      </c>
      <c r="I68" s="43">
        <v>1.41</v>
      </c>
      <c r="J68" s="44" t="s">
        <v>210</v>
      </c>
      <c r="K68" s="43">
        <v>0.13</v>
      </c>
      <c r="L68" s="44" t="s">
        <v>24</v>
      </c>
    </row>
    <row r="69" spans="3:12">
      <c r="C69" s="41" t="s">
        <v>38</v>
      </c>
      <c r="D69" s="42">
        <v>2020</v>
      </c>
      <c r="E69" s="43">
        <v>2.0299999999999998</v>
      </c>
      <c r="F69" s="43">
        <v>2.0299999999999998</v>
      </c>
      <c r="G69" s="43">
        <v>2.0299999999999998</v>
      </c>
      <c r="H69" s="44" t="s">
        <v>210</v>
      </c>
      <c r="I69" s="43">
        <v>2</v>
      </c>
      <c r="J69" s="44" t="s">
        <v>210</v>
      </c>
      <c r="K69" s="43">
        <v>1.35</v>
      </c>
      <c r="L69" s="43">
        <v>1.33</v>
      </c>
    </row>
    <row r="70" spans="3:12">
      <c r="C70" s="41" t="s">
        <v>39</v>
      </c>
      <c r="D70" s="42">
        <v>2020</v>
      </c>
      <c r="E70" s="43">
        <v>1.47</v>
      </c>
      <c r="F70" s="43">
        <v>1.41</v>
      </c>
      <c r="G70" s="43">
        <v>1.33</v>
      </c>
      <c r="H70" s="43">
        <v>2</v>
      </c>
      <c r="I70" s="43">
        <v>1.56</v>
      </c>
      <c r="J70" s="44" t="s">
        <v>210</v>
      </c>
      <c r="K70" s="43">
        <v>1.06</v>
      </c>
      <c r="L70" s="43">
        <v>1.33</v>
      </c>
    </row>
    <row r="71" spans="3:12">
      <c r="C71" s="41" t="s">
        <v>28</v>
      </c>
      <c r="D71" s="42">
        <v>2020</v>
      </c>
      <c r="E71" s="43">
        <v>1.42</v>
      </c>
      <c r="F71" s="43">
        <v>1.42</v>
      </c>
      <c r="G71" s="43">
        <v>1.42</v>
      </c>
      <c r="H71" s="43">
        <v>2.11</v>
      </c>
      <c r="I71" s="43">
        <v>2.09</v>
      </c>
      <c r="J71" s="44" t="s">
        <v>210</v>
      </c>
      <c r="K71" s="43">
        <v>0.17</v>
      </c>
      <c r="L71" s="43">
        <v>1.33</v>
      </c>
    </row>
    <row r="72" spans="3:12">
      <c r="C72" s="41" t="s">
        <v>40</v>
      </c>
      <c r="D72" s="42">
        <v>2020</v>
      </c>
      <c r="E72" s="43">
        <v>2.61</v>
      </c>
      <c r="F72" s="43">
        <v>2.61</v>
      </c>
      <c r="G72" s="43">
        <v>2.61</v>
      </c>
      <c r="H72" s="44" t="s">
        <v>210</v>
      </c>
      <c r="I72" s="43">
        <v>2.08</v>
      </c>
      <c r="J72" s="44" t="s">
        <v>210</v>
      </c>
      <c r="K72" s="43">
        <v>1.0900000000000001</v>
      </c>
      <c r="L72" s="43">
        <v>1.33</v>
      </c>
    </row>
    <row r="73" spans="3:12">
      <c r="C73" s="41" t="s">
        <v>41</v>
      </c>
      <c r="D73" s="42">
        <v>2020</v>
      </c>
      <c r="E73" s="43">
        <v>1.42</v>
      </c>
      <c r="F73" s="43">
        <v>1.42</v>
      </c>
      <c r="G73" s="43">
        <v>1.42</v>
      </c>
      <c r="H73" s="43">
        <v>2.6</v>
      </c>
      <c r="I73" s="43">
        <v>1.95</v>
      </c>
      <c r="J73" s="43">
        <v>2.6</v>
      </c>
      <c r="K73" s="43">
        <v>0.68</v>
      </c>
      <c r="L73" s="43">
        <v>1.33</v>
      </c>
    </row>
    <row r="74" spans="3:12">
      <c r="C74" s="41" t="s">
        <v>42</v>
      </c>
      <c r="D74" s="42">
        <v>2020</v>
      </c>
      <c r="E74" s="43">
        <v>1.96</v>
      </c>
      <c r="F74" s="43">
        <v>1.96</v>
      </c>
      <c r="G74" s="43">
        <v>1.96</v>
      </c>
      <c r="H74" s="43">
        <v>3.18</v>
      </c>
      <c r="I74" s="43">
        <v>2.58</v>
      </c>
      <c r="J74" s="44" t="s">
        <v>210</v>
      </c>
      <c r="K74" s="43">
        <v>1.5</v>
      </c>
      <c r="L74" s="43">
        <v>1.33</v>
      </c>
    </row>
    <row r="75" spans="3:12">
      <c r="C75" s="41" t="s">
        <v>43</v>
      </c>
      <c r="D75" s="42">
        <v>2020</v>
      </c>
      <c r="E75" s="43">
        <v>2.12</v>
      </c>
      <c r="F75" s="43">
        <v>1.42</v>
      </c>
      <c r="G75" s="43">
        <v>1.33</v>
      </c>
      <c r="H75" s="43">
        <v>2.12</v>
      </c>
      <c r="I75" s="43">
        <v>2.12</v>
      </c>
      <c r="J75" s="44" t="s">
        <v>210</v>
      </c>
      <c r="K75" s="43">
        <v>0.87</v>
      </c>
      <c r="L75" s="43">
        <v>1.33</v>
      </c>
    </row>
    <row r="76" spans="3:12">
      <c r="C76" s="41" t="s">
        <v>44</v>
      </c>
      <c r="D76" s="42">
        <v>2020</v>
      </c>
      <c r="E76" s="43">
        <v>3.19</v>
      </c>
      <c r="F76" s="43">
        <v>3.19</v>
      </c>
      <c r="G76" s="43">
        <v>3.19</v>
      </c>
      <c r="H76" s="44" t="s">
        <v>210</v>
      </c>
      <c r="I76" s="43">
        <v>3.19</v>
      </c>
      <c r="J76" s="44" t="s">
        <v>210</v>
      </c>
      <c r="K76" s="43">
        <v>2.16</v>
      </c>
      <c r="L76" s="43">
        <v>2.1</v>
      </c>
    </row>
    <row r="77" spans="3:12">
      <c r="C77" s="41" t="s">
        <v>30</v>
      </c>
      <c r="D77" s="42">
        <v>2020</v>
      </c>
      <c r="E77" s="43">
        <v>2.06</v>
      </c>
      <c r="F77" s="43">
        <v>1.4</v>
      </c>
      <c r="G77" s="43">
        <v>1.33</v>
      </c>
      <c r="H77" s="43">
        <v>2.1</v>
      </c>
      <c r="I77" s="43">
        <v>1.91</v>
      </c>
      <c r="J77" s="44" t="s">
        <v>210</v>
      </c>
      <c r="K77" s="43">
        <v>0.28000000000000003</v>
      </c>
      <c r="L77" s="44" t="s">
        <v>24</v>
      </c>
    </row>
    <row r="78" spans="3:12">
      <c r="C78" s="41" t="s">
        <v>31</v>
      </c>
      <c r="D78" s="42">
        <v>2020</v>
      </c>
      <c r="E78" s="43">
        <v>2.0499999999999998</v>
      </c>
      <c r="F78" s="43">
        <v>1.49</v>
      </c>
      <c r="G78" s="43">
        <v>1.33</v>
      </c>
      <c r="H78" s="43">
        <v>2.4700000000000002</v>
      </c>
      <c r="I78" s="43">
        <v>2.2000000000000002</v>
      </c>
      <c r="J78" s="44" t="s">
        <v>210</v>
      </c>
      <c r="K78" s="43">
        <v>0.32</v>
      </c>
      <c r="L78" s="44" t="s">
        <v>24</v>
      </c>
    </row>
    <row r="79" spans="3:12">
      <c r="C79" s="41" t="s">
        <v>45</v>
      </c>
      <c r="D79" s="42">
        <v>2020</v>
      </c>
      <c r="E79" s="43">
        <v>3.08</v>
      </c>
      <c r="F79" s="43">
        <v>3.08</v>
      </c>
      <c r="G79" s="43">
        <v>3.08</v>
      </c>
      <c r="H79" s="44" t="s">
        <v>210</v>
      </c>
      <c r="I79" s="43">
        <v>1.91</v>
      </c>
      <c r="J79" s="44" t="s">
        <v>210</v>
      </c>
      <c r="K79" s="43">
        <v>1.05</v>
      </c>
      <c r="L79" s="43">
        <v>1.33</v>
      </c>
    </row>
    <row r="80" spans="3:12">
      <c r="C80" s="41" t="s">
        <v>46</v>
      </c>
      <c r="D80" s="42">
        <v>2020</v>
      </c>
      <c r="E80" s="43">
        <v>1.42</v>
      </c>
      <c r="F80" s="43">
        <v>1.42</v>
      </c>
      <c r="G80" s="43">
        <v>1.33</v>
      </c>
      <c r="H80" s="43">
        <v>1.85</v>
      </c>
      <c r="I80" s="43">
        <v>1.33</v>
      </c>
      <c r="J80" s="44" t="s">
        <v>210</v>
      </c>
      <c r="K80" s="43">
        <v>0.23</v>
      </c>
      <c r="L80" s="43" t="s">
        <v>24</v>
      </c>
    </row>
    <row r="81" spans="3:12">
      <c r="C81" s="41" t="s">
        <v>47</v>
      </c>
      <c r="D81" s="42">
        <v>2020</v>
      </c>
      <c r="E81" s="43">
        <v>1.42</v>
      </c>
      <c r="F81" s="43">
        <v>1.42</v>
      </c>
      <c r="G81" s="43">
        <v>1.42</v>
      </c>
      <c r="H81" s="43">
        <v>3.13</v>
      </c>
      <c r="I81" s="43">
        <v>2.08</v>
      </c>
      <c r="J81" s="44" t="s">
        <v>210</v>
      </c>
      <c r="K81" s="43">
        <v>1.33</v>
      </c>
      <c r="L81" s="43">
        <v>1.33</v>
      </c>
    </row>
    <row r="82" spans="3:12">
      <c r="C82" s="41" t="s">
        <v>48</v>
      </c>
      <c r="D82" s="42">
        <v>2020</v>
      </c>
      <c r="E82" s="43">
        <v>2.08</v>
      </c>
      <c r="F82" s="43">
        <v>1.58</v>
      </c>
      <c r="G82" s="43">
        <v>1.58</v>
      </c>
      <c r="H82" s="43">
        <v>2.5</v>
      </c>
      <c r="I82" s="43">
        <v>2.08</v>
      </c>
      <c r="J82" s="44" t="s">
        <v>210</v>
      </c>
      <c r="K82" s="43">
        <v>0.19</v>
      </c>
      <c r="L82" s="43">
        <v>1.33</v>
      </c>
    </row>
    <row r="83" spans="3:12">
      <c r="C83" s="41" t="s">
        <v>49</v>
      </c>
      <c r="D83" s="42">
        <v>2020</v>
      </c>
      <c r="E83" s="43">
        <v>3.75</v>
      </c>
      <c r="F83" s="43">
        <v>1.67</v>
      </c>
      <c r="G83" s="43">
        <v>1.67</v>
      </c>
      <c r="H83" s="43">
        <v>3.02</v>
      </c>
      <c r="I83" s="43">
        <v>3.75</v>
      </c>
      <c r="J83" s="44" t="s">
        <v>210</v>
      </c>
      <c r="K83" s="43">
        <v>0.51</v>
      </c>
      <c r="L83" s="43">
        <v>1.33</v>
      </c>
    </row>
    <row r="84" spans="3:12">
      <c r="C84" s="41" t="s">
        <v>50</v>
      </c>
      <c r="D84" s="42">
        <v>2020</v>
      </c>
      <c r="E84" s="43">
        <v>1.66</v>
      </c>
      <c r="F84" s="43">
        <v>1.49</v>
      </c>
      <c r="G84" s="43">
        <v>1.33</v>
      </c>
      <c r="H84" s="43">
        <v>2.2999999999999998</v>
      </c>
      <c r="I84" s="43">
        <v>1.66</v>
      </c>
      <c r="J84" s="44" t="s">
        <v>210</v>
      </c>
      <c r="K84" s="43">
        <v>0.33</v>
      </c>
      <c r="L84" s="44" t="s">
        <v>24</v>
      </c>
    </row>
    <row r="85" spans="3:12">
      <c r="C85" s="41" t="s">
        <v>51</v>
      </c>
      <c r="D85" s="42">
        <v>2020</v>
      </c>
      <c r="E85" s="43">
        <v>1.95</v>
      </c>
      <c r="F85" s="43">
        <v>1.59</v>
      </c>
      <c r="G85" s="43">
        <v>1.59</v>
      </c>
      <c r="H85" s="43">
        <v>2.13</v>
      </c>
      <c r="I85" s="43">
        <v>1.95</v>
      </c>
      <c r="J85" s="44" t="s">
        <v>210</v>
      </c>
      <c r="K85" s="43">
        <v>0.24</v>
      </c>
      <c r="L85" s="43">
        <v>1.33</v>
      </c>
    </row>
    <row r="86" spans="3:12">
      <c r="C86" s="41" t="s">
        <v>32</v>
      </c>
      <c r="D86" s="42">
        <v>2020</v>
      </c>
      <c r="E86" s="43">
        <v>2.12</v>
      </c>
      <c r="F86" s="43">
        <v>2.12</v>
      </c>
      <c r="G86" s="43">
        <v>2.12</v>
      </c>
      <c r="H86" s="43">
        <v>2.5</v>
      </c>
      <c r="I86" s="43">
        <v>1.33</v>
      </c>
      <c r="J86" s="44" t="s">
        <v>210</v>
      </c>
      <c r="K86" s="43">
        <v>0.19</v>
      </c>
      <c r="L86" s="43">
        <v>1.33</v>
      </c>
    </row>
    <row r="87" spans="3:12">
      <c r="C87" s="41" t="s">
        <v>52</v>
      </c>
      <c r="D87" s="42">
        <v>2020</v>
      </c>
      <c r="E87" s="43">
        <v>1.91</v>
      </c>
      <c r="F87" s="43">
        <v>1.57</v>
      </c>
      <c r="G87" s="43">
        <v>1.57</v>
      </c>
      <c r="H87" s="43">
        <v>2.08</v>
      </c>
      <c r="I87" s="43">
        <v>2.09</v>
      </c>
      <c r="J87" s="44" t="s">
        <v>210</v>
      </c>
      <c r="K87" s="43">
        <v>1</v>
      </c>
      <c r="L87" s="43" t="s">
        <v>29</v>
      </c>
    </row>
    <row r="88" spans="3:12">
      <c r="C88" s="41" t="s">
        <v>53</v>
      </c>
      <c r="D88" s="42">
        <v>2020</v>
      </c>
      <c r="E88" s="43">
        <v>3.17</v>
      </c>
      <c r="F88" s="43">
        <v>3.17</v>
      </c>
      <c r="G88" s="43">
        <v>3.17</v>
      </c>
      <c r="H88" s="44" t="s">
        <v>210</v>
      </c>
      <c r="I88" s="43">
        <v>2.59</v>
      </c>
      <c r="J88" s="44" t="s">
        <v>210</v>
      </c>
      <c r="K88" s="43">
        <v>1.23</v>
      </c>
      <c r="L88" s="43">
        <v>1.33</v>
      </c>
    </row>
    <row r="89" spans="3:12">
      <c r="C89" s="41" t="s">
        <v>54</v>
      </c>
      <c r="D89" s="42">
        <v>2020</v>
      </c>
      <c r="E89" s="43">
        <v>2</v>
      </c>
      <c r="F89" s="43">
        <v>1.5</v>
      </c>
      <c r="G89" s="43">
        <v>1.5</v>
      </c>
      <c r="H89" s="43">
        <v>3</v>
      </c>
      <c r="I89" s="43">
        <v>2</v>
      </c>
      <c r="J89" s="44" t="s">
        <v>210</v>
      </c>
      <c r="K89" s="43">
        <v>1.33</v>
      </c>
      <c r="L89" s="43">
        <v>1.33</v>
      </c>
    </row>
    <row r="90" spans="3:12">
      <c r="C90" s="41" t="s">
        <v>55</v>
      </c>
      <c r="D90" s="42">
        <v>2020</v>
      </c>
      <c r="E90" s="43">
        <v>2.12</v>
      </c>
      <c r="F90" s="43">
        <v>2.12</v>
      </c>
      <c r="G90" s="43">
        <v>2.12</v>
      </c>
      <c r="H90" s="44" t="s">
        <v>210</v>
      </c>
      <c r="I90" s="43">
        <v>1.95</v>
      </c>
      <c r="J90" s="44" t="s">
        <v>210</v>
      </c>
      <c r="K90" s="43">
        <v>0.54</v>
      </c>
      <c r="L90" s="43">
        <v>1.33</v>
      </c>
    </row>
    <row r="91" spans="3:12">
      <c r="C91" s="41" t="s">
        <v>56</v>
      </c>
      <c r="D91" s="42">
        <v>2020</v>
      </c>
      <c r="E91" s="43">
        <v>2.83</v>
      </c>
      <c r="F91" s="43">
        <v>2.75</v>
      </c>
      <c r="G91" s="43">
        <v>2.75</v>
      </c>
      <c r="H91" s="44" t="s">
        <v>210</v>
      </c>
      <c r="I91" s="43">
        <v>2.78</v>
      </c>
      <c r="J91" s="44" t="s">
        <v>210</v>
      </c>
      <c r="K91" s="43">
        <v>1.33</v>
      </c>
      <c r="L91" s="43">
        <v>2</v>
      </c>
    </row>
    <row r="92" spans="3:12">
      <c r="C92" s="41" t="s">
        <v>33</v>
      </c>
      <c r="D92" s="42">
        <v>2020</v>
      </c>
      <c r="E92" s="43">
        <v>1.94</v>
      </c>
      <c r="F92" s="43">
        <v>1.43</v>
      </c>
      <c r="G92" s="43">
        <v>1.33</v>
      </c>
      <c r="H92" s="43">
        <v>2.09</v>
      </c>
      <c r="I92" s="43">
        <v>1.94</v>
      </c>
      <c r="J92" s="44" t="s">
        <v>210</v>
      </c>
      <c r="K92" s="43">
        <v>0.21</v>
      </c>
      <c r="L92" s="44" t="s">
        <v>24</v>
      </c>
    </row>
    <row r="93" spans="3:12">
      <c r="C93" s="41" t="s">
        <v>57</v>
      </c>
      <c r="D93" s="42">
        <v>2020</v>
      </c>
      <c r="E93" s="43">
        <v>1.96</v>
      </c>
      <c r="F93" s="43">
        <v>1.5</v>
      </c>
      <c r="G93" s="43">
        <v>1.5</v>
      </c>
      <c r="H93" s="43">
        <v>3</v>
      </c>
      <c r="I93" s="43">
        <v>1.96</v>
      </c>
      <c r="J93" s="43">
        <v>3</v>
      </c>
      <c r="K93" s="43">
        <v>0.17</v>
      </c>
      <c r="L93" s="43" t="s">
        <v>24</v>
      </c>
    </row>
    <row r="94" spans="3:12">
      <c r="C94" s="41" t="s">
        <v>58</v>
      </c>
      <c r="D94" s="42">
        <v>2020</v>
      </c>
      <c r="E94" s="43">
        <v>1.43</v>
      </c>
      <c r="F94" s="43">
        <v>1.43</v>
      </c>
      <c r="G94" s="43">
        <v>1.43</v>
      </c>
      <c r="H94" s="43">
        <v>2.61</v>
      </c>
      <c r="I94" s="43">
        <v>1.57</v>
      </c>
      <c r="J94" s="44" t="s">
        <v>210</v>
      </c>
      <c r="K94" s="43">
        <v>0.24</v>
      </c>
      <c r="L94" s="43">
        <v>1.33</v>
      </c>
    </row>
    <row r="95" spans="3:12">
      <c r="C95" s="41" t="s">
        <v>59</v>
      </c>
      <c r="D95" s="42">
        <v>2020</v>
      </c>
      <c r="E95" s="43">
        <v>2.13</v>
      </c>
      <c r="F95" s="43">
        <v>2.13</v>
      </c>
      <c r="G95" s="43">
        <v>2.13</v>
      </c>
      <c r="H95" s="44" t="s">
        <v>210</v>
      </c>
      <c r="I95" s="43">
        <v>1.94</v>
      </c>
      <c r="J95" s="44" t="s">
        <v>210</v>
      </c>
      <c r="K95" s="43">
        <v>0.57999999999999996</v>
      </c>
      <c r="L95" s="43" t="s">
        <v>24</v>
      </c>
    </row>
    <row r="96" spans="3:12">
      <c r="C96" s="41" t="s">
        <v>60</v>
      </c>
      <c r="D96" s="42">
        <v>2020</v>
      </c>
      <c r="E96" s="43">
        <v>1.6</v>
      </c>
      <c r="F96" s="43">
        <v>1.6</v>
      </c>
      <c r="G96" s="43">
        <v>1.33</v>
      </c>
      <c r="H96" s="43">
        <v>2</v>
      </c>
      <c r="I96" s="43">
        <v>1.6</v>
      </c>
      <c r="J96" s="44" t="s">
        <v>210</v>
      </c>
      <c r="K96" s="43">
        <v>0.31</v>
      </c>
      <c r="L96" s="43">
        <v>1.33</v>
      </c>
    </row>
    <row r="97" spans="3:12">
      <c r="C97" s="41" t="s">
        <v>61</v>
      </c>
      <c r="D97" s="42">
        <v>2020</v>
      </c>
      <c r="E97" s="43">
        <v>3.18</v>
      </c>
      <c r="F97" s="43">
        <v>3.18</v>
      </c>
      <c r="G97" s="43">
        <v>3.18</v>
      </c>
      <c r="H97" s="44" t="s">
        <v>210</v>
      </c>
      <c r="I97" s="43">
        <v>1.96</v>
      </c>
      <c r="J97" s="44" t="s">
        <v>210</v>
      </c>
      <c r="K97" s="43">
        <v>0.64</v>
      </c>
      <c r="L97" s="43">
        <v>1.33</v>
      </c>
    </row>
    <row r="98" spans="3:12">
      <c r="C98" s="41" t="s">
        <v>62</v>
      </c>
      <c r="D98" s="42">
        <v>2020</v>
      </c>
      <c r="E98" s="43">
        <v>1.94</v>
      </c>
      <c r="F98" s="43">
        <v>1.42</v>
      </c>
      <c r="G98" s="43">
        <v>1.42</v>
      </c>
      <c r="H98" s="43">
        <v>3.5</v>
      </c>
      <c r="I98" s="43">
        <v>1.94</v>
      </c>
      <c r="J98" s="43">
        <v>2</v>
      </c>
      <c r="K98" s="43">
        <v>0.3</v>
      </c>
      <c r="L98" s="43">
        <v>1.33</v>
      </c>
    </row>
    <row r="99" spans="3:12">
      <c r="C99" s="41" t="s">
        <v>63</v>
      </c>
      <c r="D99" s="42">
        <v>2020</v>
      </c>
      <c r="E99" s="43">
        <v>3</v>
      </c>
      <c r="F99" s="43">
        <v>3</v>
      </c>
      <c r="G99" s="43">
        <v>2.4</v>
      </c>
      <c r="H99" s="44" t="s">
        <v>210</v>
      </c>
      <c r="I99" s="43">
        <v>2.5</v>
      </c>
      <c r="J99" s="44" t="s">
        <v>210</v>
      </c>
      <c r="K99" s="43">
        <v>0.43</v>
      </c>
      <c r="L99" s="43">
        <v>1.33</v>
      </c>
    </row>
    <row r="100" spans="3:12">
      <c r="C100" s="41" t="s">
        <v>64</v>
      </c>
      <c r="D100" s="42">
        <v>2020</v>
      </c>
      <c r="E100" s="43">
        <v>2.1800000000000002</v>
      </c>
      <c r="F100" s="43">
        <v>1.49</v>
      </c>
      <c r="G100" s="43">
        <v>1.49</v>
      </c>
      <c r="H100" s="43">
        <v>4</v>
      </c>
      <c r="I100" s="43">
        <v>2.1800000000000002</v>
      </c>
      <c r="J100" s="44" t="s">
        <v>210</v>
      </c>
      <c r="K100" s="43">
        <v>1.33</v>
      </c>
      <c r="L100" s="43">
        <v>2</v>
      </c>
    </row>
    <row r="101" spans="3:12">
      <c r="C101" s="41" t="s">
        <v>34</v>
      </c>
      <c r="D101" s="42">
        <v>2020</v>
      </c>
      <c r="E101" s="43">
        <v>2.1</v>
      </c>
      <c r="F101" s="43">
        <v>2.1</v>
      </c>
      <c r="G101" s="43">
        <v>1.33</v>
      </c>
      <c r="H101" s="43">
        <v>2.11</v>
      </c>
      <c r="I101" s="43">
        <v>1.96</v>
      </c>
      <c r="J101" s="44" t="s">
        <v>210</v>
      </c>
      <c r="K101" s="43">
        <v>0.42</v>
      </c>
      <c r="L101" s="44" t="s">
        <v>24</v>
      </c>
    </row>
    <row r="102" spans="3:12">
      <c r="C102" s="41" t="s">
        <v>65</v>
      </c>
      <c r="D102" s="42">
        <v>2020</v>
      </c>
      <c r="E102" s="43">
        <v>1.47</v>
      </c>
      <c r="F102" s="43">
        <v>1.47</v>
      </c>
      <c r="G102" s="43">
        <v>1.33</v>
      </c>
      <c r="H102" s="43">
        <v>1.7</v>
      </c>
      <c r="I102" s="43">
        <v>1.47</v>
      </c>
      <c r="J102" s="44" t="s">
        <v>210</v>
      </c>
      <c r="K102" s="43">
        <v>0.5</v>
      </c>
      <c r="L102" s="43">
        <v>1.33</v>
      </c>
    </row>
    <row r="103" spans="3:12">
      <c r="C103" s="41" t="s">
        <v>66</v>
      </c>
      <c r="D103" s="42">
        <v>2020</v>
      </c>
      <c r="E103" s="43">
        <v>2.06</v>
      </c>
      <c r="F103" s="43">
        <v>2.06</v>
      </c>
      <c r="G103" s="43">
        <v>2.06</v>
      </c>
      <c r="H103" s="44" t="s">
        <v>210</v>
      </c>
      <c r="I103" s="43">
        <v>2</v>
      </c>
      <c r="J103" s="44" t="s">
        <v>210</v>
      </c>
      <c r="K103" s="43">
        <v>0.9</v>
      </c>
      <c r="L103" s="43">
        <v>1.33</v>
      </c>
    </row>
    <row r="104" spans="3:12">
      <c r="C104" s="41" t="s">
        <v>67</v>
      </c>
      <c r="D104" s="42">
        <v>2020</v>
      </c>
      <c r="E104" s="43">
        <v>2.0499999999999998</v>
      </c>
      <c r="F104" s="43">
        <v>2.0499999999999998</v>
      </c>
      <c r="G104" s="43">
        <v>2.0499999999999998</v>
      </c>
      <c r="H104" s="44" t="s">
        <v>210</v>
      </c>
      <c r="I104" s="43">
        <v>1.33</v>
      </c>
      <c r="J104" s="44" t="s">
        <v>210</v>
      </c>
      <c r="K104" s="43">
        <v>0.39</v>
      </c>
      <c r="L104" s="43" t="s">
        <v>24</v>
      </c>
    </row>
    <row r="105" spans="3:12">
      <c r="C105" s="41" t="s">
        <v>68</v>
      </c>
      <c r="D105" s="42">
        <v>2020</v>
      </c>
      <c r="E105" s="43">
        <v>1.85</v>
      </c>
      <c r="F105" s="43">
        <v>1.33</v>
      </c>
      <c r="G105" s="43">
        <v>1.33</v>
      </c>
      <c r="H105" s="43">
        <v>3</v>
      </c>
      <c r="I105" s="43">
        <v>1.85</v>
      </c>
      <c r="J105" s="44" t="s">
        <v>210</v>
      </c>
      <c r="K105" s="43">
        <v>0.38</v>
      </c>
      <c r="L105" s="43">
        <v>1.33</v>
      </c>
    </row>
    <row r="106" spans="3:12">
      <c r="C106" s="41" t="s">
        <v>69</v>
      </c>
      <c r="D106" s="42">
        <v>2020</v>
      </c>
      <c r="E106" s="43">
        <v>2.15</v>
      </c>
      <c r="F106" s="43">
        <v>1.57</v>
      </c>
      <c r="G106" s="43">
        <v>1.33</v>
      </c>
      <c r="H106" s="43">
        <v>3.14</v>
      </c>
      <c r="I106" s="43">
        <v>2.15</v>
      </c>
      <c r="J106" s="44" t="s">
        <v>210</v>
      </c>
      <c r="K106" s="43">
        <v>0.33</v>
      </c>
      <c r="L106" s="43">
        <v>1.33</v>
      </c>
    </row>
    <row r="107" spans="3:12">
      <c r="C107" s="41" t="s">
        <v>70</v>
      </c>
      <c r="D107" s="42">
        <v>2020</v>
      </c>
      <c r="E107" s="43">
        <v>2.61</v>
      </c>
      <c r="F107" s="43">
        <v>2.61</v>
      </c>
      <c r="G107" s="43">
        <v>2.61</v>
      </c>
      <c r="H107" s="44" t="s">
        <v>210</v>
      </c>
      <c r="I107" s="43">
        <v>1.9</v>
      </c>
      <c r="J107" s="43">
        <v>2.5299999999999998</v>
      </c>
      <c r="K107" s="43">
        <v>1.1599999999999999</v>
      </c>
      <c r="L107" s="43">
        <v>1.33</v>
      </c>
    </row>
    <row r="108" spans="3:12">
      <c r="C108" s="41" t="s">
        <v>35</v>
      </c>
      <c r="D108" s="42">
        <v>2020</v>
      </c>
      <c r="E108" s="43">
        <v>2.08</v>
      </c>
      <c r="F108" s="43">
        <v>2.08</v>
      </c>
      <c r="G108" s="43">
        <v>2.08</v>
      </c>
      <c r="H108" s="44" t="s">
        <v>210</v>
      </c>
      <c r="I108" s="43">
        <v>1.94</v>
      </c>
      <c r="J108" s="44" t="s">
        <v>210</v>
      </c>
      <c r="K108" s="43">
        <v>0.62</v>
      </c>
      <c r="L108" s="44" t="s">
        <v>24</v>
      </c>
    </row>
    <row r="109" spans="3:12">
      <c r="C109" s="41" t="s">
        <v>71</v>
      </c>
      <c r="D109" s="42">
        <v>2020</v>
      </c>
      <c r="E109" s="43">
        <v>1.82</v>
      </c>
      <c r="F109" s="43">
        <v>1.82</v>
      </c>
      <c r="G109" s="43">
        <v>1.82</v>
      </c>
      <c r="H109" s="43">
        <v>2.04</v>
      </c>
      <c r="I109" s="43">
        <v>1.33</v>
      </c>
      <c r="J109" s="44" t="s">
        <v>210</v>
      </c>
      <c r="K109" s="43">
        <v>0.54</v>
      </c>
      <c r="L109" s="44" t="s">
        <v>24</v>
      </c>
    </row>
    <row r="110" spans="3:12">
      <c r="C110" s="41" t="s">
        <v>36</v>
      </c>
      <c r="D110" s="42">
        <v>2020</v>
      </c>
      <c r="E110" s="43">
        <v>1.95</v>
      </c>
      <c r="F110" s="43">
        <v>1.42</v>
      </c>
      <c r="G110" s="43">
        <v>1.33</v>
      </c>
      <c r="H110" s="43">
        <v>2.5</v>
      </c>
      <c r="I110" s="43">
        <v>1.95</v>
      </c>
      <c r="J110" s="44" t="s">
        <v>210</v>
      </c>
      <c r="K110" s="43">
        <v>0.98</v>
      </c>
      <c r="L110" s="44" t="s">
        <v>24</v>
      </c>
    </row>
    <row r="111" spans="3:12">
      <c r="C111" s="41" t="s">
        <v>37</v>
      </c>
      <c r="D111" s="42">
        <v>2020</v>
      </c>
      <c r="E111" s="43">
        <v>1.98</v>
      </c>
      <c r="F111" s="43">
        <v>1.44</v>
      </c>
      <c r="G111" s="43">
        <v>1.33</v>
      </c>
      <c r="H111" s="43">
        <v>2.0099999999999998</v>
      </c>
      <c r="I111" s="43">
        <v>1.98</v>
      </c>
      <c r="J111" s="44" t="s">
        <v>210</v>
      </c>
      <c r="K111" s="43">
        <v>0.15</v>
      </c>
      <c r="L111" s="44" t="s">
        <v>24</v>
      </c>
    </row>
    <row r="112" spans="3:12">
      <c r="C112" s="41" t="s">
        <v>72</v>
      </c>
      <c r="D112" s="42">
        <v>2020</v>
      </c>
      <c r="E112" s="43">
        <v>1.39</v>
      </c>
      <c r="F112" s="43">
        <v>1.39</v>
      </c>
      <c r="G112" s="43">
        <v>1.33</v>
      </c>
      <c r="H112" s="43">
        <v>2</v>
      </c>
      <c r="I112" s="43">
        <v>1.39</v>
      </c>
      <c r="J112" s="44" t="s">
        <v>210</v>
      </c>
      <c r="K112" s="43">
        <v>0.42</v>
      </c>
      <c r="L112" s="43">
        <v>0.95</v>
      </c>
    </row>
    <row r="113" spans="3:14">
      <c r="C113" s="41" t="s">
        <v>73</v>
      </c>
      <c r="D113" s="42">
        <v>2020</v>
      </c>
      <c r="E113" s="43">
        <v>3.12</v>
      </c>
      <c r="F113" s="43">
        <v>3.12</v>
      </c>
      <c r="G113" s="43">
        <v>3.12</v>
      </c>
      <c r="H113" s="44" t="s">
        <v>210</v>
      </c>
      <c r="I113" s="43">
        <v>2.08</v>
      </c>
      <c r="J113" s="44" t="s">
        <v>210</v>
      </c>
      <c r="K113" s="43">
        <v>0.52</v>
      </c>
      <c r="L113" s="43">
        <v>1.33</v>
      </c>
    </row>
    <row r="114" spans="3:14">
      <c r="C114" s="41" t="s">
        <v>74</v>
      </c>
      <c r="D114" s="42">
        <v>2020</v>
      </c>
      <c r="E114" s="43">
        <v>1.43</v>
      </c>
      <c r="F114" s="43">
        <v>1.43</v>
      </c>
      <c r="G114" s="43">
        <v>1.43</v>
      </c>
      <c r="H114" s="43">
        <v>2</v>
      </c>
      <c r="I114" s="43">
        <v>1.43</v>
      </c>
      <c r="J114" s="43">
        <v>2</v>
      </c>
      <c r="K114" s="43">
        <v>0.47</v>
      </c>
      <c r="L114" s="43" t="s">
        <v>29</v>
      </c>
    </row>
    <row r="115" spans="3:14">
      <c r="C115" s="41" t="s">
        <v>75</v>
      </c>
      <c r="D115" s="42">
        <v>2020</v>
      </c>
      <c r="E115" s="43">
        <v>2.1</v>
      </c>
      <c r="F115" s="43">
        <v>2.1</v>
      </c>
      <c r="G115" s="43">
        <v>2.1</v>
      </c>
      <c r="H115" s="43">
        <v>3.12</v>
      </c>
      <c r="I115" s="43">
        <v>1.93</v>
      </c>
      <c r="J115" s="44" t="s">
        <v>210</v>
      </c>
      <c r="K115" s="43">
        <v>0.4</v>
      </c>
      <c r="L115" s="43">
        <v>1.33</v>
      </c>
      <c r="M115">
        <v>459</v>
      </c>
      <c r="N115">
        <v>78</v>
      </c>
    </row>
    <row r="116" spans="3:14">
      <c r="C116" s="41" t="s">
        <v>76</v>
      </c>
      <c r="D116" s="42">
        <v>2020</v>
      </c>
      <c r="E116" s="43">
        <v>1.58</v>
      </c>
      <c r="F116" s="43">
        <v>1.41</v>
      </c>
      <c r="G116" s="43">
        <v>1.33</v>
      </c>
      <c r="H116" s="43">
        <v>3</v>
      </c>
      <c r="I116" s="43">
        <v>1.58</v>
      </c>
      <c r="J116" s="43" t="s">
        <v>210</v>
      </c>
      <c r="K116" s="43">
        <v>0.18</v>
      </c>
      <c r="L116" s="43">
        <v>1.33</v>
      </c>
      <c r="M116">
        <f>78-15</f>
        <v>63</v>
      </c>
      <c r="N116">
        <v>387</v>
      </c>
    </row>
    <row r="117" spans="3:14">
      <c r="C117" s="41" t="s">
        <v>77</v>
      </c>
      <c r="D117" s="42">
        <v>2020</v>
      </c>
      <c r="E117" s="43">
        <v>3.01</v>
      </c>
      <c r="F117" s="43">
        <v>1.86</v>
      </c>
      <c r="G117" s="43">
        <v>1.51</v>
      </c>
      <c r="H117" s="43">
        <v>3.01</v>
      </c>
      <c r="I117" s="43">
        <v>3.01</v>
      </c>
      <c r="J117" s="44" t="s">
        <v>210</v>
      </c>
      <c r="K117" s="43">
        <v>0.95</v>
      </c>
      <c r="L117" s="44" t="s">
        <v>24</v>
      </c>
    </row>
    <row r="118" spans="3:14">
      <c r="C118" s="41" t="s">
        <v>78</v>
      </c>
      <c r="D118" s="42">
        <v>2020</v>
      </c>
      <c r="E118" s="43">
        <v>1.54</v>
      </c>
      <c r="F118" s="43">
        <v>1.54</v>
      </c>
      <c r="G118" s="43">
        <v>1.33</v>
      </c>
      <c r="H118" s="43">
        <v>2</v>
      </c>
      <c r="I118" s="43">
        <v>1.54</v>
      </c>
      <c r="J118" s="44" t="s">
        <v>210</v>
      </c>
      <c r="K118" s="43">
        <v>0.52</v>
      </c>
      <c r="L118" s="44" t="s">
        <v>24</v>
      </c>
    </row>
    <row r="119" spans="3:14">
      <c r="C119" s="40" t="s">
        <v>253</v>
      </c>
      <c r="D119" s="36">
        <v>2020</v>
      </c>
      <c r="E119" s="37">
        <v>2.13</v>
      </c>
      <c r="F119" s="37">
        <v>1.855</v>
      </c>
      <c r="G119" s="37">
        <v>1.7909999999999999</v>
      </c>
      <c r="H119" s="39">
        <v>1.861</v>
      </c>
      <c r="I119" s="37">
        <v>2.0230000000000001</v>
      </c>
      <c r="J119" s="38" t="s">
        <v>210</v>
      </c>
      <c r="K119" s="39">
        <v>0.71899999999999997</v>
      </c>
      <c r="L119" s="39">
        <v>1.33</v>
      </c>
    </row>
    <row r="120" spans="3:14">
      <c r="C120" s="35" t="s">
        <v>19</v>
      </c>
      <c r="D120" s="36">
        <v>2021</v>
      </c>
      <c r="E120" s="37">
        <v>1.41</v>
      </c>
      <c r="F120" s="37">
        <v>1.41</v>
      </c>
      <c r="G120" s="37">
        <v>1.41</v>
      </c>
      <c r="H120" s="37">
        <v>3.12</v>
      </c>
      <c r="I120" s="37">
        <v>1.41</v>
      </c>
      <c r="J120" s="38" t="s">
        <v>210</v>
      </c>
      <c r="K120" s="37">
        <v>0.13</v>
      </c>
      <c r="L120" s="38" t="s">
        <v>24</v>
      </c>
    </row>
    <row r="121" spans="3:14">
      <c r="C121" s="35" t="s">
        <v>38</v>
      </c>
      <c r="D121" s="36">
        <v>2021</v>
      </c>
      <c r="E121" s="37">
        <v>2.0299999999999998</v>
      </c>
      <c r="F121" s="37">
        <v>2.0299999999999998</v>
      </c>
      <c r="G121" s="37">
        <v>2.0299999999999998</v>
      </c>
      <c r="H121" s="38" t="s">
        <v>210</v>
      </c>
      <c r="I121" s="37">
        <v>2</v>
      </c>
      <c r="J121" s="38" t="s">
        <v>210</v>
      </c>
      <c r="K121" s="39">
        <v>1.31</v>
      </c>
      <c r="L121" s="37">
        <v>1.33</v>
      </c>
    </row>
    <row r="122" spans="3:14">
      <c r="C122" s="35" t="s">
        <v>39</v>
      </c>
      <c r="D122" s="36">
        <v>2021</v>
      </c>
      <c r="E122" s="37">
        <v>1.47</v>
      </c>
      <c r="F122" s="37">
        <v>1.41</v>
      </c>
      <c r="G122" s="37">
        <v>1.33</v>
      </c>
      <c r="H122" s="37">
        <v>2</v>
      </c>
      <c r="I122" s="37">
        <v>1.56</v>
      </c>
      <c r="J122" s="38" t="s">
        <v>210</v>
      </c>
      <c r="K122" s="37">
        <v>1.06</v>
      </c>
      <c r="L122" s="37">
        <v>1.33</v>
      </c>
    </row>
    <row r="123" spans="3:14">
      <c r="C123" s="35" t="s">
        <v>28</v>
      </c>
      <c r="D123" s="36">
        <v>2021</v>
      </c>
      <c r="E123" s="37">
        <v>1.42</v>
      </c>
      <c r="F123" s="37">
        <v>1.42</v>
      </c>
      <c r="G123" s="37">
        <v>1.42</v>
      </c>
      <c r="H123" s="37">
        <v>2.11</v>
      </c>
      <c r="I123" s="37">
        <v>2.09</v>
      </c>
      <c r="J123" s="38" t="s">
        <v>210</v>
      </c>
      <c r="K123" s="39">
        <v>0.14000000000000001</v>
      </c>
      <c r="L123" s="37">
        <v>1.33</v>
      </c>
    </row>
    <row r="124" spans="3:14">
      <c r="C124" s="35" t="s">
        <v>40</v>
      </c>
      <c r="D124" s="36">
        <v>2021</v>
      </c>
      <c r="E124" s="37">
        <v>2.61</v>
      </c>
      <c r="F124" s="37">
        <v>2.61</v>
      </c>
      <c r="G124" s="37">
        <v>2.61</v>
      </c>
      <c r="H124" s="38" t="s">
        <v>210</v>
      </c>
      <c r="I124" s="37">
        <v>2.08</v>
      </c>
      <c r="J124" s="38" t="s">
        <v>210</v>
      </c>
      <c r="K124" s="37">
        <v>1.0900000000000001</v>
      </c>
      <c r="L124" s="37">
        <v>1.33</v>
      </c>
    </row>
    <row r="125" spans="3:14">
      <c r="C125" s="35" t="s">
        <v>41</v>
      </c>
      <c r="D125" s="36">
        <v>2021</v>
      </c>
      <c r="E125" s="37">
        <v>1.42</v>
      </c>
      <c r="F125" s="37">
        <v>1.42</v>
      </c>
      <c r="G125" s="37">
        <v>1.42</v>
      </c>
      <c r="H125" s="37">
        <v>2.6</v>
      </c>
      <c r="I125" s="37">
        <v>1.95</v>
      </c>
      <c r="J125" s="37">
        <v>2.6</v>
      </c>
      <c r="K125" s="37">
        <v>0.68</v>
      </c>
      <c r="L125" s="37">
        <v>1.33</v>
      </c>
    </row>
    <row r="126" spans="3:14">
      <c r="C126" s="35" t="s">
        <v>42</v>
      </c>
      <c r="D126" s="36">
        <v>2021</v>
      </c>
      <c r="E126" s="37">
        <v>1.96</v>
      </c>
      <c r="F126" s="37">
        <v>1.96</v>
      </c>
      <c r="G126" s="37">
        <v>1.96</v>
      </c>
      <c r="H126" s="37">
        <v>3.18</v>
      </c>
      <c r="I126" s="37">
        <v>2.58</v>
      </c>
      <c r="J126" s="38" t="s">
        <v>210</v>
      </c>
      <c r="K126" s="37">
        <v>1.55</v>
      </c>
      <c r="L126" s="37">
        <v>1.33</v>
      </c>
    </row>
    <row r="127" spans="3:14">
      <c r="C127" s="35" t="s">
        <v>43</v>
      </c>
      <c r="D127" s="36">
        <v>2021</v>
      </c>
      <c r="E127" s="37">
        <v>2.12</v>
      </c>
      <c r="F127" s="37">
        <v>1.42</v>
      </c>
      <c r="G127" s="37">
        <v>1.33</v>
      </c>
      <c r="H127" s="39">
        <v>2.12</v>
      </c>
      <c r="I127" s="37">
        <v>2.12</v>
      </c>
      <c r="J127" s="38" t="s">
        <v>210</v>
      </c>
      <c r="K127" s="37">
        <v>0.87</v>
      </c>
      <c r="L127" s="37">
        <v>1.33</v>
      </c>
    </row>
    <row r="128" spans="3:14">
      <c r="C128" s="35" t="s">
        <v>44</v>
      </c>
      <c r="D128" s="36">
        <v>2021</v>
      </c>
      <c r="E128" s="37">
        <v>3.19</v>
      </c>
      <c r="F128" s="37">
        <v>3.19</v>
      </c>
      <c r="G128" s="37">
        <v>3.19</v>
      </c>
      <c r="H128" s="38" t="s">
        <v>210</v>
      </c>
      <c r="I128" s="37">
        <v>3.19</v>
      </c>
      <c r="J128" s="38" t="s">
        <v>210</v>
      </c>
      <c r="K128" s="37">
        <v>2.16</v>
      </c>
      <c r="L128" s="37">
        <v>2.1</v>
      </c>
    </row>
    <row r="129" spans="3:12">
      <c r="C129" s="35" t="s">
        <v>30</v>
      </c>
      <c r="D129" s="36">
        <v>2021</v>
      </c>
      <c r="E129" s="37">
        <v>2.06</v>
      </c>
      <c r="F129" s="37">
        <v>1.4</v>
      </c>
      <c r="G129" s="37">
        <v>1.33</v>
      </c>
      <c r="H129" s="39">
        <v>2.1</v>
      </c>
      <c r="I129" s="37">
        <v>1.91</v>
      </c>
      <c r="J129" s="38" t="s">
        <v>210</v>
      </c>
      <c r="K129" s="39">
        <v>0.27</v>
      </c>
      <c r="L129" s="38" t="s">
        <v>24</v>
      </c>
    </row>
    <row r="130" spans="3:12">
      <c r="C130" s="35" t="s">
        <v>31</v>
      </c>
      <c r="D130" s="36">
        <v>2021</v>
      </c>
      <c r="E130" s="37">
        <v>2.0499999999999998</v>
      </c>
      <c r="F130" s="37">
        <v>1.49</v>
      </c>
      <c r="G130" s="37">
        <v>1.33</v>
      </c>
      <c r="H130" s="37">
        <v>2.4700000000000002</v>
      </c>
      <c r="I130" s="37">
        <v>2.2000000000000002</v>
      </c>
      <c r="J130" s="38" t="s">
        <v>210</v>
      </c>
      <c r="K130" s="39">
        <v>0.32</v>
      </c>
      <c r="L130" s="38" t="s">
        <v>24</v>
      </c>
    </row>
    <row r="131" spans="3:12">
      <c r="C131" s="35" t="s">
        <v>45</v>
      </c>
      <c r="D131" s="36">
        <v>2021</v>
      </c>
      <c r="E131" s="37">
        <v>3.08</v>
      </c>
      <c r="F131" s="37">
        <v>3.08</v>
      </c>
      <c r="G131" s="37">
        <v>3.08</v>
      </c>
      <c r="H131" s="38" t="s">
        <v>210</v>
      </c>
      <c r="I131" s="37">
        <v>1.91</v>
      </c>
      <c r="J131" s="38" t="s">
        <v>210</v>
      </c>
      <c r="K131" s="37">
        <v>1.05</v>
      </c>
      <c r="L131" s="37">
        <v>1.33</v>
      </c>
    </row>
    <row r="132" spans="3:12">
      <c r="C132" s="35" t="s">
        <v>46</v>
      </c>
      <c r="D132" s="36">
        <v>2021</v>
      </c>
      <c r="E132" s="37">
        <v>1.42</v>
      </c>
      <c r="F132" s="37">
        <v>1.42</v>
      </c>
      <c r="G132" s="37">
        <v>1.33</v>
      </c>
      <c r="H132" s="37">
        <v>1.85</v>
      </c>
      <c r="I132" s="37">
        <v>1.33</v>
      </c>
      <c r="J132" s="38" t="s">
        <v>210</v>
      </c>
      <c r="K132" s="39">
        <v>0.22</v>
      </c>
      <c r="L132" s="37">
        <v>1.33</v>
      </c>
    </row>
    <row r="133" spans="3:12">
      <c r="C133" s="35" t="s">
        <v>47</v>
      </c>
      <c r="D133" s="36">
        <v>2021</v>
      </c>
      <c r="E133" s="37">
        <v>3.13</v>
      </c>
      <c r="F133" s="37">
        <v>3.13</v>
      </c>
      <c r="G133" s="37">
        <v>3.13</v>
      </c>
      <c r="H133" s="38" t="s">
        <v>210</v>
      </c>
      <c r="I133" s="37">
        <v>2.08</v>
      </c>
      <c r="J133" s="38" t="s">
        <v>210</v>
      </c>
      <c r="K133" s="37">
        <v>1.33</v>
      </c>
      <c r="L133" s="37">
        <v>1.33</v>
      </c>
    </row>
    <row r="134" spans="3:12">
      <c r="C134" s="35" t="s">
        <v>48</v>
      </c>
      <c r="D134" s="36">
        <v>2021</v>
      </c>
      <c r="E134" s="37">
        <v>2.08</v>
      </c>
      <c r="F134" s="37">
        <v>1.58</v>
      </c>
      <c r="G134" s="37">
        <v>1.58</v>
      </c>
      <c r="H134" s="37">
        <v>2.5</v>
      </c>
      <c r="I134" s="37">
        <v>2.08</v>
      </c>
      <c r="J134" s="38" t="s">
        <v>210</v>
      </c>
      <c r="K134" s="39">
        <v>0.16</v>
      </c>
      <c r="L134" s="37">
        <v>1.33</v>
      </c>
    </row>
    <row r="135" spans="3:12">
      <c r="C135" s="35" t="s">
        <v>49</v>
      </c>
      <c r="D135" s="36">
        <v>2021</v>
      </c>
      <c r="E135" s="37">
        <v>3.75</v>
      </c>
      <c r="F135" s="37">
        <v>1.67</v>
      </c>
      <c r="G135" s="37">
        <v>1.67</v>
      </c>
      <c r="H135" s="39">
        <v>3.02</v>
      </c>
      <c r="I135" s="37">
        <v>3.75</v>
      </c>
      <c r="J135" s="38" t="s">
        <v>210</v>
      </c>
      <c r="K135" s="39">
        <v>0.47</v>
      </c>
      <c r="L135" s="37">
        <v>1.33</v>
      </c>
    </row>
    <row r="136" spans="3:12">
      <c r="C136" s="35" t="s">
        <v>50</v>
      </c>
      <c r="D136" s="36">
        <v>2021</v>
      </c>
      <c r="E136" s="37">
        <v>1.66</v>
      </c>
      <c r="F136" s="37">
        <v>1.49</v>
      </c>
      <c r="G136" s="37">
        <v>1.33</v>
      </c>
      <c r="H136" s="37">
        <v>2.5</v>
      </c>
      <c r="I136" s="37">
        <v>1.66</v>
      </c>
      <c r="J136" s="38" t="s">
        <v>210</v>
      </c>
      <c r="K136" s="37">
        <v>0.33</v>
      </c>
      <c r="L136" s="38" t="s">
        <v>24</v>
      </c>
    </row>
    <row r="137" spans="3:12">
      <c r="C137" s="35" t="s">
        <v>51</v>
      </c>
      <c r="D137" s="36">
        <v>2021</v>
      </c>
      <c r="E137" s="37">
        <v>1.95</v>
      </c>
      <c r="F137" s="37">
        <v>1.59</v>
      </c>
      <c r="G137" s="37">
        <v>1.59</v>
      </c>
      <c r="H137" s="37">
        <v>2.13</v>
      </c>
      <c r="I137" s="37">
        <v>1.95</v>
      </c>
      <c r="J137" s="37">
        <v>2.13</v>
      </c>
      <c r="K137" s="39">
        <v>0.21</v>
      </c>
      <c r="L137" s="37">
        <v>1.33</v>
      </c>
    </row>
    <row r="138" spans="3:12">
      <c r="C138" s="35" t="s">
        <v>32</v>
      </c>
      <c r="D138" s="36">
        <v>2021</v>
      </c>
      <c r="E138" s="37">
        <v>2.12</v>
      </c>
      <c r="F138" s="37">
        <v>2.12</v>
      </c>
      <c r="G138" s="37">
        <v>2.12</v>
      </c>
      <c r="H138" s="37">
        <v>2.5</v>
      </c>
      <c r="I138" s="37">
        <v>1.33</v>
      </c>
      <c r="J138" s="38" t="s">
        <v>210</v>
      </c>
      <c r="K138" s="37">
        <v>0.19</v>
      </c>
      <c r="L138" s="37">
        <v>1.33</v>
      </c>
    </row>
    <row r="139" spans="3:12">
      <c r="C139" s="35" t="s">
        <v>52</v>
      </c>
      <c r="D139" s="36">
        <v>2021</v>
      </c>
      <c r="E139" s="37">
        <v>1.91</v>
      </c>
      <c r="F139" s="37">
        <v>1.57</v>
      </c>
      <c r="G139" s="37">
        <v>1.57</v>
      </c>
      <c r="H139" s="37">
        <v>2.08</v>
      </c>
      <c r="I139" s="37">
        <v>2.09</v>
      </c>
      <c r="J139" s="38" t="s">
        <v>210</v>
      </c>
      <c r="K139" s="37">
        <v>1</v>
      </c>
      <c r="L139" s="37">
        <v>1.33</v>
      </c>
    </row>
    <row r="140" spans="3:12">
      <c r="C140" s="35" t="s">
        <v>53</v>
      </c>
      <c r="D140" s="36">
        <v>2021</v>
      </c>
      <c r="E140" s="37">
        <v>3.17</v>
      </c>
      <c r="F140" s="37">
        <v>3.17</v>
      </c>
      <c r="G140" s="37">
        <v>3.17</v>
      </c>
      <c r="H140" s="38" t="s">
        <v>210</v>
      </c>
      <c r="I140" s="37">
        <v>2.59</v>
      </c>
      <c r="J140" s="38" t="s">
        <v>210</v>
      </c>
      <c r="K140" s="37">
        <v>1.23</v>
      </c>
      <c r="L140" s="37">
        <v>1.33</v>
      </c>
    </row>
    <row r="141" spans="3:12">
      <c r="C141" s="35" t="s">
        <v>54</v>
      </c>
      <c r="D141" s="36">
        <v>2021</v>
      </c>
      <c r="E141" s="37">
        <v>2</v>
      </c>
      <c r="F141" s="37">
        <v>1.5</v>
      </c>
      <c r="G141" s="37">
        <v>1.5</v>
      </c>
      <c r="H141" s="37">
        <v>3</v>
      </c>
      <c r="I141" s="37">
        <v>2</v>
      </c>
      <c r="J141" s="38" t="s">
        <v>210</v>
      </c>
      <c r="K141" s="37">
        <v>1.33</v>
      </c>
      <c r="L141" s="37">
        <v>1.33</v>
      </c>
    </row>
    <row r="142" spans="3:12">
      <c r="C142" s="35" t="s">
        <v>55</v>
      </c>
      <c r="D142" s="36">
        <v>2021</v>
      </c>
      <c r="E142" s="37">
        <v>2.12</v>
      </c>
      <c r="F142" s="37">
        <v>2.12</v>
      </c>
      <c r="G142" s="37">
        <v>2.12</v>
      </c>
      <c r="H142" s="38" t="s">
        <v>210</v>
      </c>
      <c r="I142" s="37">
        <v>1.95</v>
      </c>
      <c r="J142" s="38" t="s">
        <v>210</v>
      </c>
      <c r="K142" s="37">
        <v>0.54</v>
      </c>
      <c r="L142" s="37">
        <v>1.33</v>
      </c>
    </row>
    <row r="143" spans="3:12">
      <c r="C143" s="40" t="s">
        <v>56</v>
      </c>
      <c r="D143" s="36">
        <v>2021</v>
      </c>
      <c r="E143" s="37">
        <v>2.83</v>
      </c>
      <c r="F143" s="37">
        <v>2.75</v>
      </c>
      <c r="G143" s="37">
        <v>2.75</v>
      </c>
      <c r="H143" s="38" t="s">
        <v>210</v>
      </c>
      <c r="I143" s="37">
        <v>2.78</v>
      </c>
      <c r="J143" s="38" t="s">
        <v>210</v>
      </c>
      <c r="K143" s="37">
        <v>1.33</v>
      </c>
      <c r="L143" s="37">
        <v>2</v>
      </c>
    </row>
    <row r="144" spans="3:12">
      <c r="C144" s="40" t="s">
        <v>33</v>
      </c>
      <c r="D144" s="36">
        <v>2021</v>
      </c>
      <c r="E144" s="37">
        <v>1.94</v>
      </c>
      <c r="F144" s="37">
        <v>1.43</v>
      </c>
      <c r="G144" s="37">
        <v>1.33</v>
      </c>
      <c r="H144" s="37">
        <v>2.09</v>
      </c>
      <c r="I144" s="37">
        <v>1.94</v>
      </c>
      <c r="J144" s="38" t="s">
        <v>210</v>
      </c>
      <c r="K144" s="39">
        <v>0.21</v>
      </c>
      <c r="L144" s="38" t="s">
        <v>24</v>
      </c>
    </row>
    <row r="145" spans="3:12">
      <c r="C145" s="40" t="s">
        <v>57</v>
      </c>
      <c r="D145" s="36">
        <v>2021</v>
      </c>
      <c r="E145" s="37">
        <v>1.96</v>
      </c>
      <c r="F145" s="37">
        <v>1.5</v>
      </c>
      <c r="G145" s="37">
        <v>1.5</v>
      </c>
      <c r="H145" s="37">
        <v>3</v>
      </c>
      <c r="I145" s="37">
        <v>1.96</v>
      </c>
      <c r="J145" s="37">
        <v>3</v>
      </c>
      <c r="K145" s="37">
        <v>0.16</v>
      </c>
      <c r="L145" s="37">
        <v>1.33</v>
      </c>
    </row>
    <row r="146" spans="3:12">
      <c r="C146" s="40" t="s">
        <v>58</v>
      </c>
      <c r="D146" s="36">
        <v>2021</v>
      </c>
      <c r="E146" s="37">
        <v>1.43</v>
      </c>
      <c r="F146" s="37">
        <v>1.43</v>
      </c>
      <c r="G146" s="37">
        <v>1.43</v>
      </c>
      <c r="H146" s="37">
        <v>2.61</v>
      </c>
      <c r="I146" s="37">
        <v>1.57</v>
      </c>
      <c r="J146" s="38" t="s">
        <v>210</v>
      </c>
      <c r="K146" s="37">
        <v>0.24</v>
      </c>
      <c r="L146" s="37">
        <v>1.33</v>
      </c>
    </row>
    <row r="147" spans="3:12">
      <c r="C147" s="40" t="s">
        <v>59</v>
      </c>
      <c r="D147" s="36">
        <v>2021</v>
      </c>
      <c r="E147" s="37">
        <v>2.13</v>
      </c>
      <c r="F147" s="37">
        <v>2.13</v>
      </c>
      <c r="G147" s="37">
        <v>2.13</v>
      </c>
      <c r="H147" s="38" t="s">
        <v>210</v>
      </c>
      <c r="I147" s="37">
        <v>1.94</v>
      </c>
      <c r="J147" s="38" t="s">
        <v>210</v>
      </c>
      <c r="K147" s="37">
        <v>0.57999999999999996</v>
      </c>
      <c r="L147" s="37">
        <v>1.33</v>
      </c>
    </row>
    <row r="148" spans="3:12">
      <c r="C148" s="40" t="s">
        <v>60</v>
      </c>
      <c r="D148" s="36">
        <v>2021</v>
      </c>
      <c r="E148" s="37">
        <v>1.6</v>
      </c>
      <c r="F148" s="37">
        <v>1.6</v>
      </c>
      <c r="G148" s="37">
        <v>1.33</v>
      </c>
      <c r="H148" s="37">
        <v>2</v>
      </c>
      <c r="I148" s="37">
        <v>1.6</v>
      </c>
      <c r="J148" s="38" t="s">
        <v>210</v>
      </c>
      <c r="K148" s="39">
        <v>0.28000000000000003</v>
      </c>
      <c r="L148" s="37">
        <v>1.33</v>
      </c>
    </row>
    <row r="149" spans="3:12">
      <c r="C149" s="40" t="s">
        <v>61</v>
      </c>
      <c r="D149" s="36">
        <v>2021</v>
      </c>
      <c r="E149" s="37">
        <v>3.18</v>
      </c>
      <c r="F149" s="37">
        <v>3.18</v>
      </c>
      <c r="G149" s="37">
        <v>3.18</v>
      </c>
      <c r="H149" s="38" t="s">
        <v>210</v>
      </c>
      <c r="I149" s="37">
        <v>1.96</v>
      </c>
      <c r="J149" s="38" t="s">
        <v>210</v>
      </c>
      <c r="K149" s="39">
        <v>0.59</v>
      </c>
      <c r="L149" s="37">
        <v>1.33</v>
      </c>
    </row>
    <row r="150" spans="3:12">
      <c r="C150" s="40" t="s">
        <v>62</v>
      </c>
      <c r="D150" s="36">
        <v>2021</v>
      </c>
      <c r="E150" s="37">
        <v>1.94</v>
      </c>
      <c r="F150" s="37">
        <v>1.42</v>
      </c>
      <c r="G150" s="37">
        <v>1.42</v>
      </c>
      <c r="H150" s="37">
        <v>3.5</v>
      </c>
      <c r="I150" s="37">
        <v>1.94</v>
      </c>
      <c r="J150" s="37">
        <v>2</v>
      </c>
      <c r="K150" s="39">
        <v>0.28000000000000003</v>
      </c>
      <c r="L150" s="37">
        <v>1.33</v>
      </c>
    </row>
    <row r="151" spans="3:12">
      <c r="C151" s="40" t="s">
        <v>63</v>
      </c>
      <c r="D151" s="36">
        <v>2021</v>
      </c>
      <c r="E151" s="37">
        <v>3</v>
      </c>
      <c r="F151" s="37">
        <v>3</v>
      </c>
      <c r="G151" s="37">
        <v>2.4</v>
      </c>
      <c r="H151" s="38" t="s">
        <v>210</v>
      </c>
      <c r="I151" s="37">
        <v>2.5</v>
      </c>
      <c r="J151" s="38" t="s">
        <v>210</v>
      </c>
      <c r="K151" s="39">
        <v>0.4</v>
      </c>
      <c r="L151" s="37">
        <v>1.33</v>
      </c>
    </row>
    <row r="152" spans="3:12">
      <c r="C152" s="40" t="s">
        <v>64</v>
      </c>
      <c r="D152" s="36">
        <v>2021</v>
      </c>
      <c r="E152" s="37">
        <v>2.1800000000000002</v>
      </c>
      <c r="F152" s="37">
        <v>1.49</v>
      </c>
      <c r="G152" s="37">
        <v>1.49</v>
      </c>
      <c r="H152" s="37">
        <v>4</v>
      </c>
      <c r="I152" s="37">
        <v>2.1800000000000002</v>
      </c>
      <c r="J152" s="38" t="s">
        <v>210</v>
      </c>
      <c r="K152" s="37">
        <v>1.33</v>
      </c>
      <c r="L152" s="37">
        <v>2</v>
      </c>
    </row>
    <row r="153" spans="3:12">
      <c r="C153" s="40" t="s">
        <v>34</v>
      </c>
      <c r="D153" s="36">
        <v>2021</v>
      </c>
      <c r="E153" s="37">
        <v>2.1</v>
      </c>
      <c r="F153" s="37">
        <v>2.1</v>
      </c>
      <c r="G153" s="37">
        <v>1.33</v>
      </c>
      <c r="H153" s="39">
        <v>2.11</v>
      </c>
      <c r="I153" s="37">
        <v>1.96</v>
      </c>
      <c r="J153" s="38" t="s">
        <v>210</v>
      </c>
      <c r="K153" s="39">
        <v>0.38</v>
      </c>
      <c r="L153" s="38" t="s">
        <v>24</v>
      </c>
    </row>
    <row r="154" spans="3:12">
      <c r="C154" s="40" t="s">
        <v>65</v>
      </c>
      <c r="D154" s="36">
        <v>2021</v>
      </c>
      <c r="E154" s="37">
        <v>1.7</v>
      </c>
      <c r="F154" s="37">
        <v>1.7</v>
      </c>
      <c r="G154" s="37">
        <v>1.7</v>
      </c>
      <c r="H154" s="38" t="s">
        <v>210</v>
      </c>
      <c r="I154" s="37">
        <v>1.57</v>
      </c>
      <c r="J154" s="38" t="s">
        <v>210</v>
      </c>
      <c r="K154" s="39">
        <v>0.46</v>
      </c>
      <c r="L154" s="37">
        <v>1.33</v>
      </c>
    </row>
    <row r="155" spans="3:12">
      <c r="C155" s="40" t="s">
        <v>66</v>
      </c>
      <c r="D155" s="36">
        <v>2021</v>
      </c>
      <c r="E155" s="37">
        <v>2.06</v>
      </c>
      <c r="F155" s="37">
        <v>2.06</v>
      </c>
      <c r="G155" s="37">
        <v>2.06</v>
      </c>
      <c r="H155" s="38" t="s">
        <v>210</v>
      </c>
      <c r="I155" s="37">
        <v>2</v>
      </c>
      <c r="J155" s="38" t="s">
        <v>210</v>
      </c>
      <c r="K155" s="37">
        <v>0.9</v>
      </c>
      <c r="L155" s="37">
        <v>1.33</v>
      </c>
    </row>
    <row r="156" spans="3:12">
      <c r="C156" s="40" t="s">
        <v>67</v>
      </c>
      <c r="D156" s="36">
        <v>2021</v>
      </c>
      <c r="E156" s="37">
        <v>2.0499999999999998</v>
      </c>
      <c r="F156" s="37">
        <v>2.0499999999999998</v>
      </c>
      <c r="G156" s="37">
        <v>2.0499999999999998</v>
      </c>
      <c r="H156" s="38" t="s">
        <v>210</v>
      </c>
      <c r="I156" s="37">
        <v>1.33</v>
      </c>
      <c r="J156" s="38" t="s">
        <v>210</v>
      </c>
      <c r="K156" s="39">
        <v>0.36</v>
      </c>
      <c r="L156" s="37">
        <v>1.33</v>
      </c>
    </row>
    <row r="157" spans="3:12">
      <c r="C157" s="40" t="s">
        <v>68</v>
      </c>
      <c r="D157" s="36">
        <v>2021</v>
      </c>
      <c r="E157" s="37">
        <v>1.85</v>
      </c>
      <c r="F157" s="37">
        <v>1.33</v>
      </c>
      <c r="G157" s="37">
        <v>1.33</v>
      </c>
      <c r="H157" s="37">
        <v>3</v>
      </c>
      <c r="I157" s="37">
        <v>1.85</v>
      </c>
      <c r="J157" s="38" t="s">
        <v>210</v>
      </c>
      <c r="K157" s="39">
        <v>0.35</v>
      </c>
      <c r="L157" s="37">
        <v>1.33</v>
      </c>
    </row>
    <row r="158" spans="3:12">
      <c r="C158" s="40" t="s">
        <v>69</v>
      </c>
      <c r="D158" s="36">
        <v>2021</v>
      </c>
      <c r="E158" s="37">
        <v>2.15</v>
      </c>
      <c r="F158" s="37">
        <v>1.57</v>
      </c>
      <c r="G158" s="37">
        <v>1.33</v>
      </c>
      <c r="H158" s="37">
        <v>3.14</v>
      </c>
      <c r="I158" s="37">
        <v>2.15</v>
      </c>
      <c r="J158" s="38" t="s">
        <v>210</v>
      </c>
      <c r="K158" s="37">
        <v>0.33</v>
      </c>
      <c r="L158" s="37">
        <v>1.33</v>
      </c>
    </row>
    <row r="159" spans="3:12">
      <c r="C159" s="40" t="s">
        <v>70</v>
      </c>
      <c r="D159" s="36">
        <v>2021</v>
      </c>
      <c r="E159" s="37">
        <v>2.61</v>
      </c>
      <c r="F159" s="37">
        <v>2.61</v>
      </c>
      <c r="G159" s="37">
        <v>2.61</v>
      </c>
      <c r="H159" s="38" t="s">
        <v>210</v>
      </c>
      <c r="I159" s="37">
        <v>1.9</v>
      </c>
      <c r="J159" s="37">
        <v>2.5299999999999998</v>
      </c>
      <c r="K159" s="37">
        <v>1.1599999999999999</v>
      </c>
      <c r="L159" s="37">
        <v>1.33</v>
      </c>
    </row>
    <row r="160" spans="3:12">
      <c r="C160" s="40" t="s">
        <v>35</v>
      </c>
      <c r="D160" s="36">
        <v>2021</v>
      </c>
      <c r="E160" s="37">
        <v>2.08</v>
      </c>
      <c r="F160" s="37">
        <v>2.08</v>
      </c>
      <c r="G160" s="37">
        <v>2.08</v>
      </c>
      <c r="H160" s="38" t="s">
        <v>210</v>
      </c>
      <c r="I160" s="37">
        <v>1.94</v>
      </c>
      <c r="J160" s="38" t="s">
        <v>210</v>
      </c>
      <c r="K160" s="37">
        <v>0.95</v>
      </c>
      <c r="L160" s="38" t="s">
        <v>24</v>
      </c>
    </row>
    <row r="161" spans="3:12">
      <c r="C161" s="40" t="s">
        <v>71</v>
      </c>
      <c r="D161" s="36">
        <v>2021</v>
      </c>
      <c r="E161" s="37">
        <v>1.82</v>
      </c>
      <c r="F161" s="37">
        <v>1.82</v>
      </c>
      <c r="G161" s="37">
        <v>1.82</v>
      </c>
      <c r="H161" s="37">
        <v>2.04</v>
      </c>
      <c r="I161" s="37">
        <v>1.33</v>
      </c>
      <c r="J161" s="38" t="s">
        <v>210</v>
      </c>
      <c r="K161" s="39">
        <v>0.5</v>
      </c>
      <c r="L161" s="38" t="s">
        <v>24</v>
      </c>
    </row>
    <row r="162" spans="3:12">
      <c r="C162" s="40" t="s">
        <v>36</v>
      </c>
      <c r="D162" s="36">
        <v>2021</v>
      </c>
      <c r="E162" s="37">
        <v>1.95</v>
      </c>
      <c r="F162" s="37">
        <v>1.42</v>
      </c>
      <c r="G162" s="37">
        <v>1.33</v>
      </c>
      <c r="H162" s="37">
        <v>2.5</v>
      </c>
      <c r="I162" s="37">
        <v>1.95</v>
      </c>
      <c r="J162" s="38" t="s">
        <v>210</v>
      </c>
      <c r="K162" s="39">
        <v>0.96</v>
      </c>
      <c r="L162" s="38" t="s">
        <v>24</v>
      </c>
    </row>
    <row r="163" spans="3:12">
      <c r="C163" s="40" t="s">
        <v>37</v>
      </c>
      <c r="D163" s="36">
        <v>2021</v>
      </c>
      <c r="E163" s="37">
        <v>1.98</v>
      </c>
      <c r="F163" s="37">
        <v>1.44</v>
      </c>
      <c r="G163" s="37">
        <v>1.33</v>
      </c>
      <c r="H163" s="37">
        <v>2.0099999999999998</v>
      </c>
      <c r="I163" s="37">
        <v>1.98</v>
      </c>
      <c r="J163" s="38" t="s">
        <v>210</v>
      </c>
      <c r="K163" s="39">
        <v>0.14000000000000001</v>
      </c>
      <c r="L163" s="38" t="s">
        <v>24</v>
      </c>
    </row>
    <row r="164" spans="3:12">
      <c r="C164" s="40" t="s">
        <v>72</v>
      </c>
      <c r="D164" s="36">
        <v>2021</v>
      </c>
      <c r="E164" s="37">
        <v>1.39</v>
      </c>
      <c r="F164" s="37">
        <v>1.39</v>
      </c>
      <c r="G164" s="37">
        <v>1.33</v>
      </c>
      <c r="H164" s="37">
        <v>2</v>
      </c>
      <c r="I164" s="37">
        <v>1.39</v>
      </c>
      <c r="J164" s="38" t="s">
        <v>210</v>
      </c>
      <c r="K164" s="39">
        <v>0.39</v>
      </c>
      <c r="L164" s="37">
        <v>1.33</v>
      </c>
    </row>
    <row r="165" spans="3:12">
      <c r="C165" s="40" t="s">
        <v>73</v>
      </c>
      <c r="D165" s="36">
        <v>2021</v>
      </c>
      <c r="E165" s="37">
        <v>3.12</v>
      </c>
      <c r="F165" s="37">
        <v>3.12</v>
      </c>
      <c r="G165" s="37">
        <v>3.12</v>
      </c>
      <c r="H165" s="38" t="s">
        <v>210</v>
      </c>
      <c r="I165" s="37">
        <v>2.08</v>
      </c>
      <c r="J165" s="38" t="s">
        <v>210</v>
      </c>
      <c r="K165" s="39">
        <v>0.46</v>
      </c>
      <c r="L165" s="37">
        <v>1.33</v>
      </c>
    </row>
    <row r="166" spans="3:12">
      <c r="C166" s="40" t="s">
        <v>74</v>
      </c>
      <c r="D166" s="36">
        <v>2021</v>
      </c>
      <c r="E166" s="37">
        <v>1.43</v>
      </c>
      <c r="F166" s="37">
        <v>1.43</v>
      </c>
      <c r="G166" s="37">
        <v>1.43</v>
      </c>
      <c r="H166" s="37">
        <v>2</v>
      </c>
      <c r="I166" s="37">
        <v>1.43</v>
      </c>
      <c r="J166" s="37">
        <v>2</v>
      </c>
      <c r="K166" s="39">
        <v>0.49</v>
      </c>
      <c r="L166" s="37">
        <v>1.33</v>
      </c>
    </row>
    <row r="167" spans="3:12">
      <c r="C167" s="40" t="s">
        <v>75</v>
      </c>
      <c r="D167" s="36">
        <v>2021</v>
      </c>
      <c r="E167" s="37">
        <v>2.1</v>
      </c>
      <c r="F167" s="37">
        <v>2.1</v>
      </c>
      <c r="G167" s="37">
        <v>2.1</v>
      </c>
      <c r="H167" s="37">
        <v>3.12</v>
      </c>
      <c r="I167" s="37">
        <v>1.93</v>
      </c>
      <c r="J167" s="38" t="s">
        <v>210</v>
      </c>
      <c r="K167" s="39">
        <v>0.35</v>
      </c>
      <c r="L167" s="37">
        <v>1.33</v>
      </c>
    </row>
    <row r="168" spans="3:12">
      <c r="C168" s="40" t="s">
        <v>76</v>
      </c>
      <c r="D168" s="36">
        <v>2021</v>
      </c>
      <c r="E168" s="37">
        <v>1.58</v>
      </c>
      <c r="F168" s="37">
        <v>1.41</v>
      </c>
      <c r="G168" s="37">
        <v>1.33</v>
      </c>
      <c r="H168" s="37">
        <v>3</v>
      </c>
      <c r="I168" s="37">
        <v>1.85</v>
      </c>
      <c r="J168" s="37">
        <v>3</v>
      </c>
      <c r="K168" s="39">
        <v>0.17</v>
      </c>
      <c r="L168" s="37">
        <v>1.33</v>
      </c>
    </row>
    <row r="169" spans="3:12">
      <c r="C169" s="40" t="s">
        <v>77</v>
      </c>
      <c r="D169" s="36">
        <v>2021</v>
      </c>
      <c r="E169" s="37">
        <v>3.01</v>
      </c>
      <c r="F169" s="37">
        <v>1.86</v>
      </c>
      <c r="G169" s="37">
        <v>1.51</v>
      </c>
      <c r="H169" s="39">
        <v>3.01</v>
      </c>
      <c r="I169" s="37">
        <v>3.01</v>
      </c>
      <c r="J169" s="38" t="s">
        <v>210</v>
      </c>
      <c r="K169" s="39">
        <v>0.95</v>
      </c>
      <c r="L169" s="38" t="s">
        <v>24</v>
      </c>
    </row>
    <row r="170" spans="3:12">
      <c r="C170" s="40" t="s">
        <v>78</v>
      </c>
      <c r="D170" s="36">
        <v>2021</v>
      </c>
      <c r="E170" s="37">
        <v>2</v>
      </c>
      <c r="F170" s="37">
        <v>2</v>
      </c>
      <c r="G170" s="37">
        <v>2</v>
      </c>
      <c r="H170" s="38" t="s">
        <v>210</v>
      </c>
      <c r="I170" s="37">
        <v>1.54</v>
      </c>
      <c r="J170" s="38" t="s">
        <v>210</v>
      </c>
      <c r="K170" s="39">
        <v>0.48</v>
      </c>
      <c r="L170" s="38" t="s">
        <v>24</v>
      </c>
    </row>
    <row r="171" spans="3:12">
      <c r="C171" s="40" t="s">
        <v>253</v>
      </c>
      <c r="D171" s="36">
        <v>2021</v>
      </c>
      <c r="E171" s="77">
        <v>2.13</v>
      </c>
      <c r="F171" s="37">
        <v>1.855</v>
      </c>
      <c r="G171" s="37">
        <v>1.7909999999999999</v>
      </c>
      <c r="H171" s="39">
        <v>1.861</v>
      </c>
      <c r="I171" s="37">
        <v>2.0230000000000001</v>
      </c>
      <c r="J171" s="38" t="s">
        <v>210</v>
      </c>
      <c r="K171" s="39">
        <v>0.71899999999999997</v>
      </c>
      <c r="L171" s="39">
        <v>1.33</v>
      </c>
    </row>
    <row r="172" spans="3:12">
      <c r="C172" s="41" t="s">
        <v>19</v>
      </c>
      <c r="D172" s="42">
        <v>2022</v>
      </c>
      <c r="E172" s="43">
        <v>1.41</v>
      </c>
      <c r="F172" s="43">
        <v>1.41</v>
      </c>
      <c r="G172" s="43">
        <v>1.41</v>
      </c>
      <c r="H172" s="43">
        <v>3.12</v>
      </c>
      <c r="I172" s="43">
        <v>1.41</v>
      </c>
      <c r="J172" s="44" t="s">
        <v>210</v>
      </c>
      <c r="K172" s="43">
        <v>0.13</v>
      </c>
      <c r="L172" s="44" t="s">
        <v>24</v>
      </c>
    </row>
    <row r="173" spans="3:12">
      <c r="C173" s="41" t="s">
        <v>38</v>
      </c>
      <c r="D173" s="42">
        <v>2022</v>
      </c>
      <c r="E173" s="43">
        <v>2.0299999999999998</v>
      </c>
      <c r="F173" s="43">
        <v>2.0299999999999998</v>
      </c>
      <c r="G173" s="43">
        <v>2.0299999999999998</v>
      </c>
      <c r="H173" s="44" t="s">
        <v>210</v>
      </c>
      <c r="I173" s="43">
        <v>2</v>
      </c>
      <c r="J173" s="44" t="s">
        <v>210</v>
      </c>
      <c r="K173" s="43">
        <v>1.31</v>
      </c>
      <c r="L173" s="43">
        <v>1.33</v>
      </c>
    </row>
    <row r="174" spans="3:12">
      <c r="C174" s="41" t="s">
        <v>39</v>
      </c>
      <c r="D174" s="42">
        <v>2022</v>
      </c>
      <c r="E174" s="43">
        <v>1.47</v>
      </c>
      <c r="F174" s="43">
        <v>1.41</v>
      </c>
      <c r="G174" s="43">
        <v>1.33</v>
      </c>
      <c r="H174" s="43">
        <v>2</v>
      </c>
      <c r="I174" s="43">
        <v>1.56</v>
      </c>
      <c r="J174" s="44" t="s">
        <v>210</v>
      </c>
      <c r="K174" s="43">
        <v>1.06</v>
      </c>
      <c r="L174" s="43">
        <v>1.33</v>
      </c>
    </row>
    <row r="175" spans="3:12">
      <c r="C175" s="41" t="s">
        <v>28</v>
      </c>
      <c r="D175" s="42">
        <v>2022</v>
      </c>
      <c r="E175" s="43">
        <v>1.42</v>
      </c>
      <c r="F175" s="43">
        <v>1.42</v>
      </c>
      <c r="G175" s="43">
        <v>1.42</v>
      </c>
      <c r="H175" s="43">
        <v>2.11</v>
      </c>
      <c r="I175" s="43">
        <v>2.09</v>
      </c>
      <c r="J175" s="44" t="s">
        <v>210</v>
      </c>
      <c r="K175" s="43">
        <v>0.15</v>
      </c>
      <c r="L175" s="43">
        <v>1.33</v>
      </c>
    </row>
    <row r="176" spans="3:12">
      <c r="C176" s="41" t="s">
        <v>40</v>
      </c>
      <c r="D176" s="42">
        <v>2022</v>
      </c>
      <c r="E176" s="43">
        <v>2.61</v>
      </c>
      <c r="F176" s="43">
        <v>2.61</v>
      </c>
      <c r="G176" s="43">
        <v>2.61</v>
      </c>
      <c r="H176" s="44" t="s">
        <v>210</v>
      </c>
      <c r="I176" s="43">
        <v>2.08</v>
      </c>
      <c r="J176" s="44" t="s">
        <v>210</v>
      </c>
      <c r="K176" s="43">
        <v>1.0900000000000001</v>
      </c>
      <c r="L176" s="43">
        <v>1.33</v>
      </c>
    </row>
    <row r="177" spans="3:12">
      <c r="C177" s="41" t="s">
        <v>41</v>
      </c>
      <c r="D177" s="42">
        <v>2022</v>
      </c>
      <c r="E177" s="43">
        <v>1.42</v>
      </c>
      <c r="F177" s="43">
        <v>1.42</v>
      </c>
      <c r="G177" s="43">
        <v>1.42</v>
      </c>
      <c r="H177" s="43">
        <v>2.6</v>
      </c>
      <c r="I177" s="43">
        <v>1.95</v>
      </c>
      <c r="J177" s="43">
        <v>2.6</v>
      </c>
      <c r="K177" s="43">
        <v>0.68</v>
      </c>
      <c r="L177" s="43">
        <v>1.33</v>
      </c>
    </row>
    <row r="178" spans="3:12">
      <c r="C178" s="41" t="s">
        <v>42</v>
      </c>
      <c r="D178" s="42">
        <v>2022</v>
      </c>
      <c r="E178" s="43">
        <v>1.96</v>
      </c>
      <c r="F178" s="43">
        <v>1.96</v>
      </c>
      <c r="G178" s="43">
        <v>1.96</v>
      </c>
      <c r="H178" s="43">
        <v>3.18</v>
      </c>
      <c r="I178" s="43">
        <v>2.58</v>
      </c>
      <c r="J178" s="44" t="s">
        <v>210</v>
      </c>
      <c r="K178" s="43">
        <v>1.55</v>
      </c>
      <c r="L178" s="43">
        <v>1.33</v>
      </c>
    </row>
    <row r="179" spans="3:12">
      <c r="C179" s="41" t="s">
        <v>43</v>
      </c>
      <c r="D179" s="42">
        <v>2022</v>
      </c>
      <c r="E179" s="43">
        <v>2.12</v>
      </c>
      <c r="F179" s="43">
        <v>1.42</v>
      </c>
      <c r="G179" s="43">
        <v>1.33</v>
      </c>
      <c r="H179" s="43">
        <v>2.12</v>
      </c>
      <c r="I179" s="43">
        <v>2.12</v>
      </c>
      <c r="J179" s="44" t="s">
        <v>210</v>
      </c>
      <c r="K179" s="43">
        <v>0.87</v>
      </c>
      <c r="L179" s="43">
        <v>1.33</v>
      </c>
    </row>
    <row r="180" spans="3:12">
      <c r="C180" s="41" t="s">
        <v>44</v>
      </c>
      <c r="D180" s="42">
        <v>2022</v>
      </c>
      <c r="E180" s="43">
        <v>3.19</v>
      </c>
      <c r="F180" s="43">
        <v>3.19</v>
      </c>
      <c r="G180" s="43">
        <v>3.19</v>
      </c>
      <c r="H180" s="44" t="s">
        <v>210</v>
      </c>
      <c r="I180" s="43">
        <v>3.19</v>
      </c>
      <c r="J180" s="44" t="s">
        <v>210</v>
      </c>
      <c r="K180" s="43">
        <v>2.16</v>
      </c>
      <c r="L180" s="43">
        <v>2.1</v>
      </c>
    </row>
    <row r="181" spans="3:12">
      <c r="C181" s="41" t="s">
        <v>30</v>
      </c>
      <c r="D181" s="42">
        <v>2022</v>
      </c>
      <c r="E181" s="43">
        <v>2.06</v>
      </c>
      <c r="F181" s="43">
        <v>1.4</v>
      </c>
      <c r="G181" s="43">
        <v>1.33</v>
      </c>
      <c r="H181" s="43">
        <v>2.1</v>
      </c>
      <c r="I181" s="43">
        <v>1.91</v>
      </c>
      <c r="J181" s="44" t="s">
        <v>210</v>
      </c>
      <c r="K181" s="43">
        <v>0.27</v>
      </c>
      <c r="L181" s="44" t="s">
        <v>24</v>
      </c>
    </row>
    <row r="182" spans="3:12">
      <c r="C182" s="41" t="s">
        <v>31</v>
      </c>
      <c r="D182" s="42">
        <v>2022</v>
      </c>
      <c r="E182" s="43">
        <v>2.0499999999999998</v>
      </c>
      <c r="F182" s="43">
        <v>1.49</v>
      </c>
      <c r="G182" s="43">
        <v>1.33</v>
      </c>
      <c r="H182" s="43">
        <v>2.4700000000000002</v>
      </c>
      <c r="I182" s="43">
        <v>2.2000000000000002</v>
      </c>
      <c r="J182" s="44" t="s">
        <v>210</v>
      </c>
      <c r="K182" s="43">
        <v>0.31</v>
      </c>
      <c r="L182" s="44" t="s">
        <v>24</v>
      </c>
    </row>
    <row r="183" spans="3:12">
      <c r="C183" s="41" t="s">
        <v>45</v>
      </c>
      <c r="D183" s="42">
        <v>2022</v>
      </c>
      <c r="E183" s="43">
        <v>3.08</v>
      </c>
      <c r="F183" s="43">
        <v>3.08</v>
      </c>
      <c r="G183" s="43">
        <v>3.08</v>
      </c>
      <c r="H183" s="44" t="s">
        <v>210</v>
      </c>
      <c r="I183" s="43">
        <v>1.91</v>
      </c>
      <c r="J183" s="44" t="s">
        <v>210</v>
      </c>
      <c r="K183" s="43">
        <v>1.05</v>
      </c>
      <c r="L183" s="43">
        <v>1.33</v>
      </c>
    </row>
    <row r="184" spans="3:12">
      <c r="C184" s="41" t="s">
        <v>46</v>
      </c>
      <c r="D184" s="42">
        <v>2022</v>
      </c>
      <c r="E184" s="43">
        <v>1.42</v>
      </c>
      <c r="F184" s="43">
        <v>1.42</v>
      </c>
      <c r="G184" s="43">
        <v>1.33</v>
      </c>
      <c r="H184" s="43">
        <v>1.85</v>
      </c>
      <c r="I184" s="43">
        <v>1.33</v>
      </c>
      <c r="J184" s="44" t="s">
        <v>210</v>
      </c>
      <c r="K184" s="43">
        <v>0.22</v>
      </c>
      <c r="L184" s="43">
        <v>1.33</v>
      </c>
    </row>
    <row r="185" spans="3:12">
      <c r="C185" s="41" t="s">
        <v>47</v>
      </c>
      <c r="D185" s="42">
        <v>2022</v>
      </c>
      <c r="E185" s="43">
        <v>1.42</v>
      </c>
      <c r="F185" s="43">
        <v>1.42</v>
      </c>
      <c r="G185" s="43">
        <v>1.42</v>
      </c>
      <c r="H185" s="43">
        <v>3.13</v>
      </c>
      <c r="I185" s="43">
        <v>2.08</v>
      </c>
      <c r="J185" s="44" t="s">
        <v>210</v>
      </c>
      <c r="K185" s="43">
        <v>1.33</v>
      </c>
      <c r="L185" s="43">
        <v>1.33</v>
      </c>
    </row>
    <row r="186" spans="3:12">
      <c r="C186" s="41" t="s">
        <v>48</v>
      </c>
      <c r="D186" s="42">
        <v>2022</v>
      </c>
      <c r="E186" s="43">
        <v>2.08</v>
      </c>
      <c r="F186" s="43">
        <v>1.58</v>
      </c>
      <c r="G186" s="43">
        <v>1.58</v>
      </c>
      <c r="H186" s="43">
        <v>2.5</v>
      </c>
      <c r="I186" s="43">
        <v>2.08</v>
      </c>
      <c r="J186" s="44" t="s">
        <v>210</v>
      </c>
      <c r="K186" s="43">
        <v>0.17</v>
      </c>
      <c r="L186" s="43">
        <v>1.33</v>
      </c>
    </row>
    <row r="187" spans="3:12">
      <c r="C187" s="41" t="s">
        <v>49</v>
      </c>
      <c r="D187" s="42">
        <v>2022</v>
      </c>
      <c r="E187" s="43">
        <v>3.75</v>
      </c>
      <c r="F187" s="43">
        <v>1.67</v>
      </c>
      <c r="G187" s="43">
        <v>1.67</v>
      </c>
      <c r="H187" s="43">
        <v>3.02</v>
      </c>
      <c r="I187" s="43">
        <v>3.75</v>
      </c>
      <c r="J187" s="44" t="s">
        <v>210</v>
      </c>
      <c r="K187" s="43">
        <v>0.49</v>
      </c>
      <c r="L187" s="43">
        <v>1.33</v>
      </c>
    </row>
    <row r="188" spans="3:12">
      <c r="C188" s="41" t="s">
        <v>50</v>
      </c>
      <c r="D188" s="42">
        <v>2022</v>
      </c>
      <c r="E188" s="43">
        <v>1.66</v>
      </c>
      <c r="F188" s="43">
        <v>1.49</v>
      </c>
      <c r="G188" s="43">
        <v>1.33</v>
      </c>
      <c r="H188" s="43">
        <v>2.25</v>
      </c>
      <c r="I188" s="43">
        <v>1.66</v>
      </c>
      <c r="J188" s="44" t="s">
        <v>210</v>
      </c>
      <c r="K188" s="43">
        <v>0.33</v>
      </c>
      <c r="L188" s="44" t="s">
        <v>24</v>
      </c>
    </row>
    <row r="189" spans="3:12">
      <c r="C189" s="41" t="s">
        <v>51</v>
      </c>
      <c r="D189" s="42">
        <v>2022</v>
      </c>
      <c r="E189" s="43">
        <v>1.95</v>
      </c>
      <c r="F189" s="43">
        <v>1.59</v>
      </c>
      <c r="G189" s="43">
        <v>1.59</v>
      </c>
      <c r="H189" s="43">
        <v>2.13</v>
      </c>
      <c r="I189" s="43">
        <v>1.95</v>
      </c>
      <c r="J189" s="44" t="s">
        <v>210</v>
      </c>
      <c r="K189" s="43">
        <v>0.22</v>
      </c>
      <c r="L189" s="43">
        <v>1.33</v>
      </c>
    </row>
    <row r="190" spans="3:12">
      <c r="C190" s="41" t="s">
        <v>32</v>
      </c>
      <c r="D190" s="42">
        <v>2022</v>
      </c>
      <c r="E190" s="43">
        <v>2.12</v>
      </c>
      <c r="F190" s="43">
        <v>2.12</v>
      </c>
      <c r="G190" s="43">
        <v>2.12</v>
      </c>
      <c r="H190" s="43">
        <v>2.5</v>
      </c>
      <c r="I190" s="43">
        <v>1.33</v>
      </c>
      <c r="J190" s="44" t="s">
        <v>210</v>
      </c>
      <c r="K190" s="43">
        <v>0.19</v>
      </c>
      <c r="L190" s="43">
        <v>1.33</v>
      </c>
    </row>
    <row r="191" spans="3:12">
      <c r="C191" s="41" t="s">
        <v>52</v>
      </c>
      <c r="D191" s="42">
        <v>2022</v>
      </c>
      <c r="E191" s="43">
        <v>1.91</v>
      </c>
      <c r="F191" s="43">
        <v>1.57</v>
      </c>
      <c r="G191" s="43">
        <v>1.57</v>
      </c>
      <c r="H191" s="43">
        <v>2.08</v>
      </c>
      <c r="I191" s="43">
        <v>2.09</v>
      </c>
      <c r="J191" s="44" t="s">
        <v>210</v>
      </c>
      <c r="K191" s="43">
        <v>1</v>
      </c>
      <c r="L191" s="43">
        <v>1.33</v>
      </c>
    </row>
    <row r="192" spans="3:12">
      <c r="C192" s="41" t="s">
        <v>53</v>
      </c>
      <c r="D192" s="42">
        <v>2022</v>
      </c>
      <c r="E192" s="43">
        <v>3.17</v>
      </c>
      <c r="F192" s="43">
        <v>3.17</v>
      </c>
      <c r="G192" s="43">
        <v>3.17</v>
      </c>
      <c r="H192" s="44" t="s">
        <v>210</v>
      </c>
      <c r="I192" s="43">
        <v>2.59</v>
      </c>
      <c r="J192" s="44" t="s">
        <v>210</v>
      </c>
      <c r="K192" s="43">
        <v>1.23</v>
      </c>
      <c r="L192" s="43">
        <v>1.33</v>
      </c>
    </row>
    <row r="193" spans="3:12">
      <c r="C193" s="41" t="s">
        <v>54</v>
      </c>
      <c r="D193" s="42">
        <v>2022</v>
      </c>
      <c r="E193" s="43">
        <v>2</v>
      </c>
      <c r="F193" s="43">
        <v>1.5</v>
      </c>
      <c r="G193" s="43">
        <v>1.5</v>
      </c>
      <c r="H193" s="43">
        <v>3</v>
      </c>
      <c r="I193" s="43">
        <v>2</v>
      </c>
      <c r="J193" s="44" t="s">
        <v>210</v>
      </c>
      <c r="K193" s="43">
        <v>1.33</v>
      </c>
      <c r="L193" s="43">
        <v>1.33</v>
      </c>
    </row>
    <row r="194" spans="3:12">
      <c r="C194" s="41" t="s">
        <v>55</v>
      </c>
      <c r="D194" s="42">
        <v>2022</v>
      </c>
      <c r="E194" s="43">
        <v>2.12</v>
      </c>
      <c r="F194" s="43">
        <v>2.12</v>
      </c>
      <c r="G194" s="43">
        <v>2.12</v>
      </c>
      <c r="H194" s="44" t="s">
        <v>210</v>
      </c>
      <c r="I194" s="43">
        <v>1.95</v>
      </c>
      <c r="J194" s="44" t="s">
        <v>210</v>
      </c>
      <c r="K194" s="43">
        <v>0.54</v>
      </c>
      <c r="L194" s="43">
        <v>1.33</v>
      </c>
    </row>
    <row r="195" spans="3:12">
      <c r="C195" s="41" t="s">
        <v>56</v>
      </c>
      <c r="D195" s="42">
        <v>2022</v>
      </c>
      <c r="E195" s="43">
        <v>2.83</v>
      </c>
      <c r="F195" s="43">
        <v>2.75</v>
      </c>
      <c r="G195" s="43">
        <v>2.75</v>
      </c>
      <c r="H195" s="44" t="s">
        <v>210</v>
      </c>
      <c r="I195" s="43">
        <v>2.78</v>
      </c>
      <c r="J195" s="44" t="s">
        <v>210</v>
      </c>
      <c r="K195" s="43">
        <v>1.33</v>
      </c>
      <c r="L195" s="43">
        <v>2</v>
      </c>
    </row>
    <row r="196" spans="3:12">
      <c r="C196" s="41" t="s">
        <v>33</v>
      </c>
      <c r="D196" s="42">
        <v>2022</v>
      </c>
      <c r="E196" s="43">
        <v>1.94</v>
      </c>
      <c r="F196" s="43">
        <v>1.43</v>
      </c>
      <c r="G196" s="43">
        <v>1.33</v>
      </c>
      <c r="H196" s="43">
        <v>2.09</v>
      </c>
      <c r="I196" s="43">
        <v>1.94</v>
      </c>
      <c r="J196" s="44" t="s">
        <v>210</v>
      </c>
      <c r="K196" s="43">
        <v>0.21</v>
      </c>
      <c r="L196" s="44" t="s">
        <v>24</v>
      </c>
    </row>
    <row r="197" spans="3:12">
      <c r="C197" s="41" t="s">
        <v>57</v>
      </c>
      <c r="D197" s="42">
        <v>2022</v>
      </c>
      <c r="E197" s="43">
        <v>1.96</v>
      </c>
      <c r="F197" s="43">
        <v>1.5</v>
      </c>
      <c r="G197" s="43">
        <v>1.5</v>
      </c>
      <c r="H197" s="43">
        <v>3</v>
      </c>
      <c r="I197" s="43">
        <v>1.96</v>
      </c>
      <c r="J197" s="43">
        <v>3</v>
      </c>
      <c r="K197" s="43">
        <v>0.17</v>
      </c>
      <c r="L197" s="43">
        <v>1.33</v>
      </c>
    </row>
    <row r="198" spans="3:12">
      <c r="C198" s="41" t="s">
        <v>58</v>
      </c>
      <c r="D198" s="42">
        <v>2022</v>
      </c>
      <c r="E198" s="43">
        <v>1.43</v>
      </c>
      <c r="F198" s="43">
        <v>1.43</v>
      </c>
      <c r="G198" s="43">
        <v>1.43</v>
      </c>
      <c r="H198" s="43">
        <v>2.61</v>
      </c>
      <c r="I198" s="43">
        <v>1.57</v>
      </c>
      <c r="J198" s="44" t="s">
        <v>210</v>
      </c>
      <c r="K198" s="43">
        <v>0.24</v>
      </c>
      <c r="L198" s="43">
        <v>1.33</v>
      </c>
    </row>
    <row r="199" spans="3:12">
      <c r="C199" s="41" t="s">
        <v>59</v>
      </c>
      <c r="D199" s="42">
        <v>2022</v>
      </c>
      <c r="E199" s="43">
        <v>2.13</v>
      </c>
      <c r="F199" s="43">
        <v>2.13</v>
      </c>
      <c r="G199" s="43">
        <v>2.13</v>
      </c>
      <c r="H199" s="44" t="s">
        <v>210</v>
      </c>
      <c r="I199" s="43">
        <v>1.94</v>
      </c>
      <c r="J199" s="44" t="s">
        <v>210</v>
      </c>
      <c r="K199" s="43">
        <v>0.57999999999999996</v>
      </c>
      <c r="L199" s="43">
        <v>1.33</v>
      </c>
    </row>
    <row r="200" spans="3:12">
      <c r="C200" s="41" t="s">
        <v>60</v>
      </c>
      <c r="D200" s="42">
        <v>2022</v>
      </c>
      <c r="E200" s="43">
        <v>1.6</v>
      </c>
      <c r="F200" s="43">
        <v>1.6</v>
      </c>
      <c r="G200" s="43">
        <v>1.33</v>
      </c>
      <c r="H200" s="43">
        <v>2</v>
      </c>
      <c r="I200" s="43">
        <v>1.6</v>
      </c>
      <c r="J200" s="44" t="s">
        <v>210</v>
      </c>
      <c r="K200" s="43">
        <v>0.3</v>
      </c>
      <c r="L200" s="43">
        <v>1.33</v>
      </c>
    </row>
    <row r="201" spans="3:12">
      <c r="C201" s="41" t="s">
        <v>61</v>
      </c>
      <c r="D201" s="42">
        <v>2022</v>
      </c>
      <c r="E201" s="43">
        <v>3.18</v>
      </c>
      <c r="F201" s="43">
        <v>3.18</v>
      </c>
      <c r="G201" s="43">
        <v>3.18</v>
      </c>
      <c r="H201" s="44" t="s">
        <v>210</v>
      </c>
      <c r="I201" s="43">
        <v>1.96</v>
      </c>
      <c r="J201" s="44" t="s">
        <v>210</v>
      </c>
      <c r="K201" s="43">
        <v>0.62</v>
      </c>
      <c r="L201" s="43">
        <v>1.33</v>
      </c>
    </row>
    <row r="202" spans="3:12">
      <c r="C202" s="41" t="s">
        <v>62</v>
      </c>
      <c r="D202" s="42">
        <v>2022</v>
      </c>
      <c r="E202" s="43">
        <v>1.94</v>
      </c>
      <c r="F202" s="43">
        <v>1.42</v>
      </c>
      <c r="G202" s="43">
        <v>1.42</v>
      </c>
      <c r="H202" s="43">
        <v>3.5</v>
      </c>
      <c r="I202" s="43">
        <v>1.94</v>
      </c>
      <c r="J202" s="43">
        <v>2</v>
      </c>
      <c r="K202" s="43">
        <v>0.28999999999999998</v>
      </c>
      <c r="L202" s="43">
        <v>1.33</v>
      </c>
    </row>
    <row r="203" spans="3:12">
      <c r="C203" s="41" t="s">
        <v>63</v>
      </c>
      <c r="D203" s="42">
        <v>2022</v>
      </c>
      <c r="E203" s="43">
        <v>3</v>
      </c>
      <c r="F203" s="43">
        <v>3</v>
      </c>
      <c r="G203" s="43">
        <v>2.4</v>
      </c>
      <c r="H203" s="44" t="s">
        <v>210</v>
      </c>
      <c r="I203" s="43">
        <v>2.5</v>
      </c>
      <c r="J203" s="44" t="s">
        <v>210</v>
      </c>
      <c r="K203" s="43">
        <v>0.42</v>
      </c>
      <c r="L203" s="43">
        <v>1.33</v>
      </c>
    </row>
    <row r="204" spans="3:12">
      <c r="C204" s="41" t="s">
        <v>64</v>
      </c>
      <c r="D204" s="42">
        <v>2022</v>
      </c>
      <c r="E204" s="43">
        <v>2.1800000000000002</v>
      </c>
      <c r="F204" s="43">
        <v>1.49</v>
      </c>
      <c r="G204" s="43">
        <v>1.49</v>
      </c>
      <c r="H204" s="43">
        <v>4</v>
      </c>
      <c r="I204" s="43">
        <v>2.1800000000000002</v>
      </c>
      <c r="J204" s="44" t="s">
        <v>210</v>
      </c>
      <c r="K204" s="43">
        <v>1.33</v>
      </c>
      <c r="L204" s="43">
        <v>2</v>
      </c>
    </row>
    <row r="205" spans="3:12">
      <c r="C205" s="41" t="s">
        <v>34</v>
      </c>
      <c r="D205" s="42">
        <v>2022</v>
      </c>
      <c r="E205" s="43">
        <v>2.1</v>
      </c>
      <c r="F205" s="43">
        <v>2.1</v>
      </c>
      <c r="G205" s="43">
        <v>1.33</v>
      </c>
      <c r="H205" s="43">
        <v>2.11</v>
      </c>
      <c r="I205" s="43">
        <v>1.96</v>
      </c>
      <c r="J205" s="44" t="s">
        <v>210</v>
      </c>
      <c r="K205" s="43">
        <v>0.4</v>
      </c>
      <c r="L205" s="44"/>
    </row>
    <row r="206" spans="3:12">
      <c r="C206" s="41" t="s">
        <v>65</v>
      </c>
      <c r="D206" s="42">
        <v>2022</v>
      </c>
      <c r="E206" s="43">
        <v>1.7</v>
      </c>
      <c r="F206" s="43">
        <v>1.7</v>
      </c>
      <c r="G206" s="43">
        <v>1.7</v>
      </c>
      <c r="H206" s="44" t="s">
        <v>210</v>
      </c>
      <c r="I206" s="43">
        <v>1.57</v>
      </c>
      <c r="J206" s="44" t="s">
        <v>210</v>
      </c>
      <c r="K206" s="43">
        <v>0.48</v>
      </c>
      <c r="L206" s="43">
        <v>1.33</v>
      </c>
    </row>
    <row r="207" spans="3:12">
      <c r="C207" s="41" t="s">
        <v>66</v>
      </c>
      <c r="D207" s="42">
        <v>2022</v>
      </c>
      <c r="E207" s="43">
        <v>2.06</v>
      </c>
      <c r="F207" s="43">
        <v>2.06</v>
      </c>
      <c r="G207" s="43">
        <v>2.06</v>
      </c>
      <c r="H207" s="44" t="s">
        <v>210</v>
      </c>
      <c r="I207" s="43">
        <v>2</v>
      </c>
      <c r="J207" s="44" t="s">
        <v>210</v>
      </c>
      <c r="K207" s="43">
        <v>0.9</v>
      </c>
      <c r="L207" s="43">
        <v>1.33</v>
      </c>
    </row>
    <row r="208" spans="3:12">
      <c r="C208" s="41" t="s">
        <v>67</v>
      </c>
      <c r="D208" s="42">
        <v>2022</v>
      </c>
      <c r="E208" s="43">
        <v>2.0499999999999998</v>
      </c>
      <c r="F208" s="43">
        <v>2.0499999999999998</v>
      </c>
      <c r="G208" s="43">
        <v>2.0499999999999998</v>
      </c>
      <c r="H208" s="44" t="s">
        <v>210</v>
      </c>
      <c r="I208" s="43">
        <v>1.33</v>
      </c>
      <c r="J208" s="44" t="s">
        <v>210</v>
      </c>
      <c r="K208" s="43">
        <v>0.38</v>
      </c>
      <c r="L208" s="43">
        <v>1.33</v>
      </c>
    </row>
    <row r="209" spans="3:12">
      <c r="C209" s="41" t="s">
        <v>68</v>
      </c>
      <c r="D209" s="42">
        <v>2022</v>
      </c>
      <c r="E209" s="43">
        <v>1.85</v>
      </c>
      <c r="F209" s="43">
        <v>1.33</v>
      </c>
      <c r="G209" s="43">
        <v>1.33</v>
      </c>
      <c r="H209" s="43">
        <v>3</v>
      </c>
      <c r="I209" s="43">
        <v>1.85</v>
      </c>
      <c r="J209" s="44" t="s">
        <v>210</v>
      </c>
      <c r="K209" s="43">
        <v>0.37</v>
      </c>
      <c r="L209" s="43">
        <v>1.33</v>
      </c>
    </row>
    <row r="210" spans="3:12">
      <c r="C210" s="41" t="s">
        <v>69</v>
      </c>
      <c r="D210" s="42">
        <v>2022</v>
      </c>
      <c r="E210" s="43">
        <v>2.15</v>
      </c>
      <c r="F210" s="43">
        <v>1.57</v>
      </c>
      <c r="G210" s="43">
        <v>1.33</v>
      </c>
      <c r="H210" s="43">
        <v>3.14</v>
      </c>
      <c r="I210" s="43">
        <v>2.15</v>
      </c>
      <c r="J210" s="44" t="s">
        <v>210</v>
      </c>
      <c r="K210" s="43">
        <v>0.33</v>
      </c>
      <c r="L210" s="43">
        <v>1.33</v>
      </c>
    </row>
    <row r="211" spans="3:12">
      <c r="C211" s="41" t="s">
        <v>70</v>
      </c>
      <c r="D211" s="42">
        <v>2022</v>
      </c>
      <c r="E211" s="43">
        <v>2.61</v>
      </c>
      <c r="F211" s="43">
        <v>2.61</v>
      </c>
      <c r="G211" s="43">
        <v>2.61</v>
      </c>
      <c r="H211" s="44" t="s">
        <v>210</v>
      </c>
      <c r="I211" s="43">
        <v>1.9</v>
      </c>
      <c r="J211" s="43">
        <v>2.5299999999999998</v>
      </c>
      <c r="K211" s="43">
        <v>1.1599999999999999</v>
      </c>
      <c r="L211" s="43">
        <v>1.33</v>
      </c>
    </row>
    <row r="212" spans="3:12">
      <c r="C212" s="41" t="s">
        <v>35</v>
      </c>
      <c r="D212" s="42">
        <v>2022</v>
      </c>
      <c r="E212" s="43">
        <v>2.08</v>
      </c>
      <c r="F212" s="43">
        <v>2.08</v>
      </c>
      <c r="G212" s="43">
        <v>2.08</v>
      </c>
      <c r="H212" s="44" t="s">
        <v>210</v>
      </c>
      <c r="I212" s="43">
        <v>1.94</v>
      </c>
      <c r="J212" s="44" t="s">
        <v>210</v>
      </c>
      <c r="K212" s="43">
        <v>0.95</v>
      </c>
      <c r="L212" s="44" t="s">
        <v>24</v>
      </c>
    </row>
    <row r="213" spans="3:12">
      <c r="C213" s="41" t="s">
        <v>71</v>
      </c>
      <c r="D213" s="42">
        <v>2022</v>
      </c>
      <c r="E213" s="43">
        <v>1.82</v>
      </c>
      <c r="F213" s="43">
        <v>1.82</v>
      </c>
      <c r="G213" s="43">
        <v>1.82</v>
      </c>
      <c r="H213" s="43">
        <v>2.04</v>
      </c>
      <c r="I213" s="43">
        <v>1.33</v>
      </c>
      <c r="J213" s="44" t="s">
        <v>210</v>
      </c>
      <c r="K213" s="43">
        <v>0.52</v>
      </c>
      <c r="L213" s="44" t="s">
        <v>24</v>
      </c>
    </row>
    <row r="214" spans="3:12">
      <c r="C214" s="41" t="s">
        <v>36</v>
      </c>
      <c r="D214" s="42">
        <v>2022</v>
      </c>
      <c r="E214" s="43">
        <v>1.95</v>
      </c>
      <c r="F214" s="43">
        <v>1.42</v>
      </c>
      <c r="G214" s="43">
        <v>1.33</v>
      </c>
      <c r="H214" s="43">
        <v>2.5</v>
      </c>
      <c r="I214" s="43">
        <v>1.95</v>
      </c>
      <c r="J214" s="44" t="s">
        <v>210</v>
      </c>
      <c r="K214" s="43">
        <v>0.95</v>
      </c>
      <c r="L214" s="44" t="s">
        <v>24</v>
      </c>
    </row>
    <row r="215" spans="3:12">
      <c r="C215" s="41" t="s">
        <v>37</v>
      </c>
      <c r="D215" s="42">
        <v>2022</v>
      </c>
      <c r="E215" s="43">
        <v>1.98</v>
      </c>
      <c r="F215" s="43">
        <v>1.44</v>
      </c>
      <c r="G215" s="43">
        <v>1.33</v>
      </c>
      <c r="H215" s="43">
        <v>2.0099999999999998</v>
      </c>
      <c r="I215" s="43">
        <v>1.98</v>
      </c>
      <c r="J215" s="44" t="s">
        <v>210</v>
      </c>
      <c r="K215" s="43">
        <v>0.14000000000000001</v>
      </c>
      <c r="L215" s="44" t="s">
        <v>24</v>
      </c>
    </row>
    <row r="216" spans="3:12">
      <c r="C216" s="41" t="s">
        <v>72</v>
      </c>
      <c r="D216" s="42">
        <v>2022</v>
      </c>
      <c r="E216" s="43">
        <v>1.39</v>
      </c>
      <c r="F216" s="43">
        <v>1.39</v>
      </c>
      <c r="G216" s="43">
        <v>1.33</v>
      </c>
      <c r="H216" s="43">
        <v>2</v>
      </c>
      <c r="I216" s="43">
        <v>1.39</v>
      </c>
      <c r="J216" s="44" t="s">
        <v>210</v>
      </c>
      <c r="K216" s="43">
        <v>0.41</v>
      </c>
      <c r="L216" s="43">
        <v>1.33</v>
      </c>
    </row>
    <row r="217" spans="3:12">
      <c r="C217" s="41" t="s">
        <v>73</v>
      </c>
      <c r="D217" s="42">
        <v>2022</v>
      </c>
      <c r="E217" s="43">
        <v>3.12</v>
      </c>
      <c r="F217" s="43">
        <v>3.12</v>
      </c>
      <c r="G217" s="43">
        <v>3.12</v>
      </c>
      <c r="H217" s="44" t="s">
        <v>210</v>
      </c>
      <c r="I217" s="43">
        <v>2.08</v>
      </c>
      <c r="J217" s="44" t="s">
        <v>210</v>
      </c>
      <c r="K217" s="43">
        <v>0.49</v>
      </c>
      <c r="L217" s="43">
        <v>1.33</v>
      </c>
    </row>
    <row r="218" spans="3:12">
      <c r="C218" s="41" t="s">
        <v>74</v>
      </c>
      <c r="D218" s="42">
        <v>2022</v>
      </c>
      <c r="E218" s="43">
        <v>1.43</v>
      </c>
      <c r="F218" s="43">
        <v>1.43</v>
      </c>
      <c r="G218" s="43">
        <v>1.43</v>
      </c>
      <c r="H218" s="43">
        <v>2</v>
      </c>
      <c r="I218" s="43">
        <v>1.43</v>
      </c>
      <c r="J218" s="43">
        <v>2</v>
      </c>
      <c r="K218" s="43">
        <v>0.49</v>
      </c>
      <c r="L218" s="43">
        <v>1.33</v>
      </c>
    </row>
    <row r="219" spans="3:12">
      <c r="C219" s="41" t="s">
        <v>75</v>
      </c>
      <c r="D219" s="42">
        <v>2022</v>
      </c>
      <c r="E219" s="43">
        <v>2.1</v>
      </c>
      <c r="F219" s="43">
        <v>2.1</v>
      </c>
      <c r="G219" s="43">
        <v>2.1</v>
      </c>
      <c r="H219" s="43">
        <v>3.12</v>
      </c>
      <c r="I219" s="43">
        <v>1.93</v>
      </c>
      <c r="J219" s="44" t="s">
        <v>210</v>
      </c>
      <c r="K219" s="43">
        <v>0.37</v>
      </c>
      <c r="L219" s="43">
        <v>1.33</v>
      </c>
    </row>
    <row r="220" spans="3:12">
      <c r="C220" s="41" t="s">
        <v>76</v>
      </c>
      <c r="D220" s="42">
        <v>2022</v>
      </c>
      <c r="E220" s="43">
        <v>1.58</v>
      </c>
      <c r="F220" s="43">
        <v>1.41</v>
      </c>
      <c r="G220" s="43">
        <v>1.33</v>
      </c>
      <c r="H220" s="43">
        <v>3</v>
      </c>
      <c r="I220" s="43">
        <v>1.85</v>
      </c>
      <c r="J220" s="43">
        <v>3</v>
      </c>
      <c r="K220" s="43">
        <v>0.18</v>
      </c>
      <c r="L220" s="43">
        <v>1.33</v>
      </c>
    </row>
    <row r="221" spans="3:12">
      <c r="C221" s="41" t="s">
        <v>77</v>
      </c>
      <c r="D221" s="42">
        <v>2022</v>
      </c>
      <c r="E221" s="43">
        <v>3.01</v>
      </c>
      <c r="F221" s="43">
        <v>1.86</v>
      </c>
      <c r="G221" s="43">
        <v>1.51</v>
      </c>
      <c r="H221" s="43">
        <v>3.01</v>
      </c>
      <c r="I221" s="43">
        <v>3.01</v>
      </c>
      <c r="J221" s="44" t="s">
        <v>210</v>
      </c>
      <c r="K221" s="43">
        <v>0.95</v>
      </c>
      <c r="L221" s="44" t="s">
        <v>24</v>
      </c>
    </row>
    <row r="222" spans="3:12">
      <c r="C222" s="41" t="s">
        <v>78</v>
      </c>
      <c r="D222" s="42">
        <v>2022</v>
      </c>
      <c r="E222" s="43">
        <v>2</v>
      </c>
      <c r="F222" s="43">
        <v>2</v>
      </c>
      <c r="G222" s="43">
        <v>2</v>
      </c>
      <c r="H222" s="44" t="s">
        <v>210</v>
      </c>
      <c r="I222" s="43">
        <v>1.54</v>
      </c>
      <c r="J222" s="44" t="s">
        <v>210</v>
      </c>
      <c r="K222" s="43">
        <v>0.51</v>
      </c>
      <c r="L222" s="44" t="s">
        <v>24</v>
      </c>
    </row>
    <row r="223" spans="3:12">
      <c r="C223" s="40" t="s">
        <v>253</v>
      </c>
      <c r="D223" s="36">
        <v>2022</v>
      </c>
      <c r="E223" s="37">
        <v>2.1309999999999998</v>
      </c>
      <c r="F223" s="37">
        <v>1.8560000000000001</v>
      </c>
      <c r="G223" s="37">
        <v>1.792</v>
      </c>
      <c r="H223" s="39">
        <v>1.857</v>
      </c>
      <c r="I223" s="37">
        <v>2.0249999999999999</v>
      </c>
      <c r="J223" s="38" t="s">
        <v>210</v>
      </c>
      <c r="K223" s="39">
        <v>0.71899999999999997</v>
      </c>
      <c r="L223" s="39">
        <v>1.33</v>
      </c>
    </row>
    <row r="224" spans="3:12">
      <c r="C224" s="35" t="s">
        <v>19</v>
      </c>
      <c r="D224" s="36">
        <v>2023</v>
      </c>
      <c r="E224" s="37">
        <v>1.41</v>
      </c>
      <c r="F224" s="37">
        <v>1.41</v>
      </c>
      <c r="G224" s="37">
        <v>1.41</v>
      </c>
      <c r="H224" s="37">
        <v>3.12</v>
      </c>
      <c r="I224" s="37">
        <v>1.41</v>
      </c>
      <c r="J224" s="38" t="s">
        <v>210</v>
      </c>
      <c r="K224" s="37">
        <v>0.13</v>
      </c>
      <c r="L224" s="38" t="s">
        <v>24</v>
      </c>
    </row>
    <row r="225" spans="3:12">
      <c r="C225" s="35" t="s">
        <v>38</v>
      </c>
      <c r="D225" s="36">
        <v>2023</v>
      </c>
      <c r="E225" s="37">
        <v>2.0299999999999998</v>
      </c>
      <c r="F225" s="37">
        <v>2.0299999999999998</v>
      </c>
      <c r="G225" s="37">
        <v>2.0299999999999998</v>
      </c>
      <c r="H225" s="38" t="s">
        <v>210</v>
      </c>
      <c r="I225" s="37">
        <v>2</v>
      </c>
      <c r="J225" s="38" t="s">
        <v>210</v>
      </c>
      <c r="K225" s="39">
        <v>1.31</v>
      </c>
      <c r="L225" s="37">
        <v>1.33</v>
      </c>
    </row>
    <row r="226" spans="3:12">
      <c r="C226" s="35" t="s">
        <v>39</v>
      </c>
      <c r="D226" s="36">
        <v>2023</v>
      </c>
      <c r="E226" s="37">
        <v>1.47</v>
      </c>
      <c r="F226" s="37">
        <v>1.41</v>
      </c>
      <c r="G226" s="37">
        <v>1.33</v>
      </c>
      <c r="H226" s="37">
        <v>2</v>
      </c>
      <c r="I226" s="37">
        <v>1.56</v>
      </c>
      <c r="J226" s="38" t="s">
        <v>210</v>
      </c>
      <c r="K226" s="37">
        <v>1.06</v>
      </c>
      <c r="L226" s="37">
        <v>1.33</v>
      </c>
    </row>
    <row r="227" spans="3:12">
      <c r="C227" s="35" t="s">
        <v>28</v>
      </c>
      <c r="D227" s="36">
        <v>2023</v>
      </c>
      <c r="E227" s="37">
        <v>1.42</v>
      </c>
      <c r="F227" s="37">
        <v>1.42</v>
      </c>
      <c r="G227" s="37">
        <v>1.42</v>
      </c>
      <c r="H227" s="37">
        <v>2.11</v>
      </c>
      <c r="I227" s="37">
        <v>2.09</v>
      </c>
      <c r="J227" s="38" t="s">
        <v>210</v>
      </c>
      <c r="K227" s="39">
        <v>0.14000000000000001</v>
      </c>
      <c r="L227" s="37">
        <v>1.33</v>
      </c>
    </row>
    <row r="228" spans="3:12">
      <c r="C228" s="35" t="s">
        <v>40</v>
      </c>
      <c r="D228" s="36">
        <v>2023</v>
      </c>
      <c r="E228" s="37">
        <v>2.61</v>
      </c>
      <c r="F228" s="37">
        <v>2.61</v>
      </c>
      <c r="G228" s="37">
        <v>2.61</v>
      </c>
      <c r="H228" s="38" t="s">
        <v>210</v>
      </c>
      <c r="I228" s="37">
        <v>2.08</v>
      </c>
      <c r="J228" s="38" t="s">
        <v>210</v>
      </c>
      <c r="K228" s="37">
        <v>1.0900000000000001</v>
      </c>
      <c r="L228" s="37">
        <v>1.33</v>
      </c>
    </row>
    <row r="229" spans="3:12">
      <c r="C229" s="35" t="s">
        <v>41</v>
      </c>
      <c r="D229" s="36">
        <v>2023</v>
      </c>
      <c r="E229" s="37">
        <v>1.42</v>
      </c>
      <c r="F229" s="37">
        <v>1.42</v>
      </c>
      <c r="G229" s="37">
        <v>1.42</v>
      </c>
      <c r="H229" s="37">
        <v>2.6</v>
      </c>
      <c r="I229" s="37">
        <v>1.95</v>
      </c>
      <c r="J229" s="37">
        <v>2.6</v>
      </c>
      <c r="K229" s="37">
        <v>0.68</v>
      </c>
      <c r="L229" s="37">
        <v>1.33</v>
      </c>
    </row>
    <row r="230" spans="3:12">
      <c r="C230" s="35" t="s">
        <v>42</v>
      </c>
      <c r="D230" s="36">
        <v>2023</v>
      </c>
      <c r="E230" s="37">
        <v>1.96</v>
      </c>
      <c r="F230" s="37">
        <v>1.96</v>
      </c>
      <c r="G230" s="37">
        <v>1.96</v>
      </c>
      <c r="H230" s="37">
        <v>3.18</v>
      </c>
      <c r="I230" s="37">
        <v>2.58</v>
      </c>
      <c r="J230" s="38" t="s">
        <v>210</v>
      </c>
      <c r="K230" s="37">
        <v>1.55</v>
      </c>
      <c r="L230" s="37">
        <v>1.33</v>
      </c>
    </row>
    <row r="231" spans="3:12">
      <c r="C231" s="35" t="s">
        <v>43</v>
      </c>
      <c r="D231" s="36">
        <v>2023</v>
      </c>
      <c r="E231" s="37">
        <v>2.12</v>
      </c>
      <c r="F231" s="37">
        <v>1.42</v>
      </c>
      <c r="G231" s="37">
        <v>1.33</v>
      </c>
      <c r="H231" s="39">
        <v>2.12</v>
      </c>
      <c r="I231" s="37">
        <v>2.12</v>
      </c>
      <c r="J231" s="38" t="s">
        <v>210</v>
      </c>
      <c r="K231" s="37">
        <v>0.87</v>
      </c>
      <c r="L231" s="37">
        <v>1.33</v>
      </c>
    </row>
    <row r="232" spans="3:12">
      <c r="C232" s="35" t="s">
        <v>44</v>
      </c>
      <c r="D232" s="36">
        <v>2023</v>
      </c>
      <c r="E232" s="37">
        <v>3.19</v>
      </c>
      <c r="F232" s="37">
        <v>3.19</v>
      </c>
      <c r="G232" s="37">
        <v>3.19</v>
      </c>
      <c r="H232" s="38" t="s">
        <v>210</v>
      </c>
      <c r="I232" s="37">
        <v>3.19</v>
      </c>
      <c r="J232" s="38" t="s">
        <v>210</v>
      </c>
      <c r="K232" s="37">
        <v>2.16</v>
      </c>
      <c r="L232" s="37">
        <v>2.1</v>
      </c>
    </row>
    <row r="233" spans="3:12">
      <c r="C233" s="35" t="s">
        <v>30</v>
      </c>
      <c r="D233" s="36">
        <v>2023</v>
      </c>
      <c r="E233" s="37">
        <v>2.06</v>
      </c>
      <c r="F233" s="37">
        <v>1.4</v>
      </c>
      <c r="G233" s="37">
        <v>1.33</v>
      </c>
      <c r="H233" s="39">
        <v>2.1</v>
      </c>
      <c r="I233" s="37">
        <v>1.91</v>
      </c>
      <c r="J233" s="38" t="s">
        <v>210</v>
      </c>
      <c r="K233" s="39">
        <v>0.26</v>
      </c>
      <c r="L233" s="38" t="s">
        <v>24</v>
      </c>
    </row>
    <row r="234" spans="3:12">
      <c r="C234" s="35" t="s">
        <v>31</v>
      </c>
      <c r="D234" s="36">
        <v>2023</v>
      </c>
      <c r="E234" s="37">
        <v>2.0499999999999998</v>
      </c>
      <c r="F234" s="37">
        <v>1.49</v>
      </c>
      <c r="G234" s="37">
        <v>1.33</v>
      </c>
      <c r="H234" s="37">
        <v>2.4700000000000002</v>
      </c>
      <c r="I234" s="37">
        <v>2.2000000000000002</v>
      </c>
      <c r="J234" s="38" t="s">
        <v>210</v>
      </c>
      <c r="K234" s="39">
        <v>0.3</v>
      </c>
      <c r="L234" s="38" t="s">
        <v>24</v>
      </c>
    </row>
    <row r="235" spans="3:12">
      <c r="C235" s="35" t="s">
        <v>45</v>
      </c>
      <c r="D235" s="36">
        <v>2023</v>
      </c>
      <c r="E235" s="37">
        <v>3.08</v>
      </c>
      <c r="F235" s="37">
        <v>3.08</v>
      </c>
      <c r="G235" s="37">
        <v>3.08</v>
      </c>
      <c r="H235" s="38" t="s">
        <v>210</v>
      </c>
      <c r="I235" s="37">
        <v>1.91</v>
      </c>
      <c r="J235" s="38" t="s">
        <v>210</v>
      </c>
      <c r="K235" s="37">
        <v>1.05</v>
      </c>
      <c r="L235" s="37">
        <v>1.33</v>
      </c>
    </row>
    <row r="236" spans="3:12">
      <c r="C236" s="35" t="s">
        <v>46</v>
      </c>
      <c r="D236" s="36">
        <v>2023</v>
      </c>
      <c r="E236" s="37">
        <v>1.42</v>
      </c>
      <c r="F236" s="37">
        <v>1.42</v>
      </c>
      <c r="G236" s="37">
        <v>1.33</v>
      </c>
      <c r="H236" s="37">
        <v>1.85</v>
      </c>
      <c r="I236" s="37">
        <v>1.33</v>
      </c>
      <c r="J236" s="38" t="s">
        <v>210</v>
      </c>
      <c r="K236" s="39">
        <v>0.22</v>
      </c>
      <c r="L236" s="37">
        <v>1.33</v>
      </c>
    </row>
    <row r="237" spans="3:12">
      <c r="C237" s="35" t="s">
        <v>47</v>
      </c>
      <c r="D237" s="36">
        <v>2023</v>
      </c>
      <c r="E237" s="37">
        <v>3.13</v>
      </c>
      <c r="F237" s="37">
        <v>3.13</v>
      </c>
      <c r="G237" s="37">
        <v>3.13</v>
      </c>
      <c r="H237" s="38" t="s">
        <v>210</v>
      </c>
      <c r="I237" s="37">
        <v>2.08</v>
      </c>
      <c r="J237" s="38" t="s">
        <v>210</v>
      </c>
      <c r="K237" s="37">
        <v>1.33</v>
      </c>
      <c r="L237" s="37">
        <v>1.33</v>
      </c>
    </row>
    <row r="238" spans="3:12">
      <c r="C238" s="35" t="s">
        <v>48</v>
      </c>
      <c r="D238" s="36">
        <v>2023</v>
      </c>
      <c r="E238" s="37">
        <v>2.08</v>
      </c>
      <c r="F238" s="37">
        <v>1.58</v>
      </c>
      <c r="G238" s="37">
        <v>1.58</v>
      </c>
      <c r="H238" s="37">
        <v>2.5</v>
      </c>
      <c r="I238" s="37">
        <v>2.08</v>
      </c>
      <c r="J238" s="38" t="s">
        <v>210</v>
      </c>
      <c r="K238" s="39">
        <v>0.16</v>
      </c>
      <c r="L238" s="37">
        <v>1.33</v>
      </c>
    </row>
    <row r="239" spans="3:12">
      <c r="C239" s="35" t="s">
        <v>49</v>
      </c>
      <c r="D239" s="36">
        <v>2023</v>
      </c>
      <c r="E239" s="37">
        <v>3.75</v>
      </c>
      <c r="F239" s="37">
        <v>1.67</v>
      </c>
      <c r="G239" s="37">
        <v>1.67</v>
      </c>
      <c r="H239" s="39">
        <v>3.02</v>
      </c>
      <c r="I239" s="37">
        <v>3.75</v>
      </c>
      <c r="J239" s="38" t="s">
        <v>210</v>
      </c>
      <c r="K239" s="39">
        <v>0.47</v>
      </c>
      <c r="L239" s="37">
        <v>1.33</v>
      </c>
    </row>
    <row r="240" spans="3:12">
      <c r="C240" s="35" t="s">
        <v>50</v>
      </c>
      <c r="D240" s="36">
        <v>2023</v>
      </c>
      <c r="E240" s="37">
        <v>1.66</v>
      </c>
      <c r="F240" s="37">
        <v>1.49</v>
      </c>
      <c r="G240" s="37">
        <v>1.33</v>
      </c>
      <c r="H240" s="37">
        <v>2.5</v>
      </c>
      <c r="I240" s="37">
        <v>1.66</v>
      </c>
      <c r="J240" s="38" t="s">
        <v>210</v>
      </c>
      <c r="K240" s="37">
        <v>0.33</v>
      </c>
      <c r="L240" s="38" t="s">
        <v>24</v>
      </c>
    </row>
    <row r="241" spans="3:12">
      <c r="C241" s="35" t="s">
        <v>51</v>
      </c>
      <c r="D241" s="36">
        <v>2023</v>
      </c>
      <c r="E241" s="37">
        <v>1.95</v>
      </c>
      <c r="F241" s="37">
        <v>1.59</v>
      </c>
      <c r="G241" s="37">
        <v>1.59</v>
      </c>
      <c r="H241" s="37">
        <v>2.13</v>
      </c>
      <c r="I241" s="37">
        <v>1.95</v>
      </c>
      <c r="J241" s="37">
        <v>2.13</v>
      </c>
      <c r="K241" s="39">
        <v>0.21</v>
      </c>
      <c r="L241" s="37">
        <v>1.33</v>
      </c>
    </row>
    <row r="242" spans="3:12">
      <c r="C242" s="35" t="s">
        <v>32</v>
      </c>
      <c r="D242" s="36">
        <v>2023</v>
      </c>
      <c r="E242" s="37">
        <v>2.12</v>
      </c>
      <c r="F242" s="37">
        <v>2.12</v>
      </c>
      <c r="G242" s="37">
        <v>2.12</v>
      </c>
      <c r="H242" s="37">
        <v>2.5</v>
      </c>
      <c r="I242" s="37">
        <v>1.33</v>
      </c>
      <c r="J242" s="38" t="s">
        <v>210</v>
      </c>
      <c r="K242" s="37">
        <v>0.19</v>
      </c>
      <c r="L242" s="37">
        <v>1.33</v>
      </c>
    </row>
    <row r="243" spans="3:12">
      <c r="C243" s="35" t="s">
        <v>52</v>
      </c>
      <c r="D243" s="36">
        <v>2023</v>
      </c>
      <c r="E243" s="37">
        <v>1.91</v>
      </c>
      <c r="F243" s="37">
        <v>1.57</v>
      </c>
      <c r="G243" s="37">
        <v>1.57</v>
      </c>
      <c r="H243" s="37">
        <v>2.08</v>
      </c>
      <c r="I243" s="37">
        <v>2.09</v>
      </c>
      <c r="J243" s="38" t="s">
        <v>210</v>
      </c>
      <c r="K243" s="37">
        <v>1</v>
      </c>
      <c r="L243" s="37">
        <v>1.33</v>
      </c>
    </row>
    <row r="244" spans="3:12">
      <c r="C244" s="35" t="s">
        <v>53</v>
      </c>
      <c r="D244" s="36">
        <v>2023</v>
      </c>
      <c r="E244" s="37">
        <v>3.17</v>
      </c>
      <c r="F244" s="37">
        <v>3.17</v>
      </c>
      <c r="G244" s="37">
        <v>3.17</v>
      </c>
      <c r="H244" s="38" t="s">
        <v>210</v>
      </c>
      <c r="I244" s="37">
        <v>2.59</v>
      </c>
      <c r="J244" s="38" t="s">
        <v>210</v>
      </c>
      <c r="K244" s="37">
        <v>1.23</v>
      </c>
      <c r="L244" s="37">
        <v>1.33</v>
      </c>
    </row>
    <row r="245" spans="3:12">
      <c r="C245" s="35" t="s">
        <v>54</v>
      </c>
      <c r="D245" s="36">
        <v>2023</v>
      </c>
      <c r="E245" s="37">
        <v>2</v>
      </c>
      <c r="F245" s="37">
        <v>1.5</v>
      </c>
      <c r="G245" s="37">
        <v>1.5</v>
      </c>
      <c r="H245" s="37">
        <v>3</v>
      </c>
      <c r="I245" s="37">
        <v>2</v>
      </c>
      <c r="J245" s="38" t="s">
        <v>210</v>
      </c>
      <c r="K245" s="37">
        <v>1.33</v>
      </c>
      <c r="L245" s="37">
        <v>1.33</v>
      </c>
    </row>
    <row r="246" spans="3:12">
      <c r="C246" s="35" t="s">
        <v>55</v>
      </c>
      <c r="D246" s="36">
        <v>2023</v>
      </c>
      <c r="E246" s="37">
        <v>2.12</v>
      </c>
      <c r="F246" s="37">
        <v>2.12</v>
      </c>
      <c r="G246" s="37">
        <v>2.12</v>
      </c>
      <c r="H246" s="38" t="s">
        <v>210</v>
      </c>
      <c r="I246" s="37">
        <v>1.95</v>
      </c>
      <c r="J246" s="38" t="s">
        <v>210</v>
      </c>
      <c r="K246" s="37">
        <v>0.54</v>
      </c>
      <c r="L246" s="37">
        <v>1.33</v>
      </c>
    </row>
    <row r="247" spans="3:12">
      <c r="C247" s="40" t="s">
        <v>56</v>
      </c>
      <c r="D247" s="36">
        <v>2023</v>
      </c>
      <c r="E247" s="37">
        <v>2.83</v>
      </c>
      <c r="F247" s="37">
        <v>2.75</v>
      </c>
      <c r="G247" s="37">
        <v>2.75</v>
      </c>
      <c r="H247" s="38" t="s">
        <v>210</v>
      </c>
      <c r="I247" s="37">
        <v>2.78</v>
      </c>
      <c r="J247" s="38" t="s">
        <v>210</v>
      </c>
      <c r="K247" s="37">
        <v>1.33</v>
      </c>
      <c r="L247" s="37">
        <v>2</v>
      </c>
    </row>
    <row r="248" spans="3:12">
      <c r="C248" s="40" t="s">
        <v>33</v>
      </c>
      <c r="D248" s="36">
        <v>2023</v>
      </c>
      <c r="E248" s="37">
        <v>1.94</v>
      </c>
      <c r="F248" s="37">
        <v>1.43</v>
      </c>
      <c r="G248" s="37">
        <v>1.33</v>
      </c>
      <c r="H248" s="37">
        <v>2.09</v>
      </c>
      <c r="I248" s="37">
        <v>1.94</v>
      </c>
      <c r="J248" s="38" t="s">
        <v>210</v>
      </c>
      <c r="K248" s="39">
        <v>0.2</v>
      </c>
      <c r="L248" s="38" t="s">
        <v>24</v>
      </c>
    </row>
    <row r="249" spans="3:12">
      <c r="C249" s="40" t="s">
        <v>57</v>
      </c>
      <c r="D249" s="36">
        <v>2023</v>
      </c>
      <c r="E249" s="37">
        <v>1.96</v>
      </c>
      <c r="F249" s="37">
        <v>1.5</v>
      </c>
      <c r="G249" s="37">
        <v>1.5</v>
      </c>
      <c r="H249" s="37">
        <v>3</v>
      </c>
      <c r="I249" s="37">
        <v>1.96</v>
      </c>
      <c r="J249" s="37">
        <v>3</v>
      </c>
      <c r="K249" s="37">
        <v>0.16</v>
      </c>
      <c r="L249" s="37">
        <v>1.33</v>
      </c>
    </row>
    <row r="250" spans="3:12">
      <c r="C250" s="40" t="s">
        <v>58</v>
      </c>
      <c r="D250" s="36">
        <v>2023</v>
      </c>
      <c r="E250" s="37">
        <v>1.43</v>
      </c>
      <c r="F250" s="37">
        <v>1.43</v>
      </c>
      <c r="G250" s="37">
        <v>1.43</v>
      </c>
      <c r="H250" s="37">
        <v>2.61</v>
      </c>
      <c r="I250" s="37">
        <v>1.57</v>
      </c>
      <c r="J250" s="38" t="s">
        <v>210</v>
      </c>
      <c r="K250" s="37">
        <v>0.24</v>
      </c>
      <c r="L250" s="37">
        <v>1.33</v>
      </c>
    </row>
    <row r="251" spans="3:12">
      <c r="C251" s="40" t="s">
        <v>59</v>
      </c>
      <c r="D251" s="36">
        <v>2023</v>
      </c>
      <c r="E251" s="37">
        <v>2.13</v>
      </c>
      <c r="F251" s="37">
        <v>2.13</v>
      </c>
      <c r="G251" s="37">
        <v>2.13</v>
      </c>
      <c r="H251" s="38" t="s">
        <v>210</v>
      </c>
      <c r="I251" s="37">
        <v>1.94</v>
      </c>
      <c r="J251" s="38" t="s">
        <v>210</v>
      </c>
      <c r="K251" s="37">
        <v>0.57999999999999996</v>
      </c>
      <c r="L251" s="37">
        <v>1.33</v>
      </c>
    </row>
    <row r="252" spans="3:12">
      <c r="C252" s="40" t="s">
        <v>60</v>
      </c>
      <c r="D252" s="36">
        <v>2023</v>
      </c>
      <c r="E252" s="37">
        <v>1.6</v>
      </c>
      <c r="F252" s="37">
        <v>1.6</v>
      </c>
      <c r="G252" s="37">
        <v>1.33</v>
      </c>
      <c r="H252" s="37">
        <v>2</v>
      </c>
      <c r="I252" s="37">
        <v>1.6</v>
      </c>
      <c r="J252" s="38" t="s">
        <v>210</v>
      </c>
      <c r="K252" s="39">
        <v>0.28000000000000003</v>
      </c>
      <c r="L252" s="37">
        <v>1.33</v>
      </c>
    </row>
    <row r="253" spans="3:12">
      <c r="C253" s="40" t="s">
        <v>61</v>
      </c>
      <c r="D253" s="36">
        <v>2023</v>
      </c>
      <c r="E253" s="37">
        <v>3.18</v>
      </c>
      <c r="F253" s="37">
        <v>3.18</v>
      </c>
      <c r="G253" s="37">
        <v>3.18</v>
      </c>
      <c r="H253" s="38" t="s">
        <v>210</v>
      </c>
      <c r="I253" s="37">
        <v>1.96</v>
      </c>
      <c r="J253" s="38" t="s">
        <v>210</v>
      </c>
      <c r="K253" s="39">
        <v>0.59</v>
      </c>
      <c r="L253" s="37">
        <v>1.33</v>
      </c>
    </row>
    <row r="254" spans="3:12">
      <c r="C254" s="40" t="s">
        <v>62</v>
      </c>
      <c r="D254" s="36">
        <v>2023</v>
      </c>
      <c r="E254" s="37">
        <v>1.94</v>
      </c>
      <c r="F254" s="37">
        <v>1.42</v>
      </c>
      <c r="G254" s="37">
        <v>1.42</v>
      </c>
      <c r="H254" s="37">
        <v>3.5</v>
      </c>
      <c r="I254" s="37">
        <v>1.94</v>
      </c>
      <c r="J254" s="37">
        <v>2</v>
      </c>
      <c r="K254" s="39">
        <v>0.28000000000000003</v>
      </c>
      <c r="L254" s="37">
        <v>1.33</v>
      </c>
    </row>
    <row r="255" spans="3:12">
      <c r="C255" s="40" t="s">
        <v>63</v>
      </c>
      <c r="D255" s="36">
        <v>2023</v>
      </c>
      <c r="E255" s="37">
        <v>3</v>
      </c>
      <c r="F255" s="37">
        <v>3</v>
      </c>
      <c r="G255" s="37">
        <v>2.4</v>
      </c>
      <c r="H255" s="38" t="s">
        <v>210</v>
      </c>
      <c r="I255" s="37">
        <v>2.5</v>
      </c>
      <c r="J255" s="38" t="s">
        <v>210</v>
      </c>
      <c r="K255" s="39">
        <v>0.4</v>
      </c>
      <c r="L255" s="37">
        <v>1.33</v>
      </c>
    </row>
    <row r="256" spans="3:12">
      <c r="C256" s="40" t="s">
        <v>64</v>
      </c>
      <c r="D256" s="36">
        <v>2023</v>
      </c>
      <c r="E256" s="37">
        <v>2.1800000000000002</v>
      </c>
      <c r="F256" s="37">
        <v>1.49</v>
      </c>
      <c r="G256" s="37">
        <v>1.49</v>
      </c>
      <c r="H256" s="37">
        <v>4</v>
      </c>
      <c r="I256" s="37">
        <v>2.1800000000000002</v>
      </c>
      <c r="J256" s="38" t="s">
        <v>210</v>
      </c>
      <c r="K256" s="37">
        <v>1.33</v>
      </c>
      <c r="L256" s="37">
        <v>2</v>
      </c>
    </row>
    <row r="257" spans="3:12">
      <c r="C257" s="40" t="s">
        <v>34</v>
      </c>
      <c r="D257" s="36">
        <v>2023</v>
      </c>
      <c r="E257" s="37">
        <v>2.1</v>
      </c>
      <c r="F257" s="37">
        <v>2.1</v>
      </c>
      <c r="G257" s="37">
        <v>1.33</v>
      </c>
      <c r="H257" s="39">
        <v>2.11</v>
      </c>
      <c r="I257" s="37">
        <v>1.96</v>
      </c>
      <c r="J257" s="38" t="s">
        <v>210</v>
      </c>
      <c r="K257" s="39">
        <v>0.38</v>
      </c>
      <c r="L257" s="38" t="s">
        <v>24</v>
      </c>
    </row>
    <row r="258" spans="3:12">
      <c r="C258" s="40" t="s">
        <v>65</v>
      </c>
      <c r="D258" s="36">
        <v>2023</v>
      </c>
      <c r="E258" s="37">
        <v>1.7</v>
      </c>
      <c r="F258" s="37">
        <v>1.7</v>
      </c>
      <c r="G258" s="37">
        <v>1.7</v>
      </c>
      <c r="H258" s="38" t="s">
        <v>210</v>
      </c>
      <c r="I258" s="37">
        <v>1.57</v>
      </c>
      <c r="J258" s="38" t="s">
        <v>210</v>
      </c>
      <c r="K258" s="39">
        <v>0.46</v>
      </c>
      <c r="L258" s="37">
        <v>1.33</v>
      </c>
    </row>
    <row r="259" spans="3:12">
      <c r="C259" s="40" t="s">
        <v>66</v>
      </c>
      <c r="D259" s="36">
        <v>2023</v>
      </c>
      <c r="E259" s="37">
        <v>2.06</v>
      </c>
      <c r="F259" s="37">
        <v>2.06</v>
      </c>
      <c r="G259" s="37">
        <v>2.06</v>
      </c>
      <c r="H259" s="38" t="s">
        <v>210</v>
      </c>
      <c r="I259" s="37">
        <v>2</v>
      </c>
      <c r="J259" s="38" t="s">
        <v>210</v>
      </c>
      <c r="K259" s="37">
        <v>0.9</v>
      </c>
      <c r="L259" s="37">
        <v>1.33</v>
      </c>
    </row>
    <row r="260" spans="3:12">
      <c r="C260" s="40" t="s">
        <v>67</v>
      </c>
      <c r="D260" s="36">
        <v>2023</v>
      </c>
      <c r="E260" s="37">
        <v>2.0499999999999998</v>
      </c>
      <c r="F260" s="37">
        <v>2.0499999999999998</v>
      </c>
      <c r="G260" s="37">
        <v>2.0499999999999998</v>
      </c>
      <c r="H260" s="38" t="s">
        <v>210</v>
      </c>
      <c r="I260" s="37">
        <v>1.33</v>
      </c>
      <c r="J260" s="38" t="s">
        <v>210</v>
      </c>
      <c r="K260" s="39">
        <v>0.36</v>
      </c>
      <c r="L260" s="37">
        <v>1.33</v>
      </c>
    </row>
    <row r="261" spans="3:12">
      <c r="C261" s="40" t="s">
        <v>68</v>
      </c>
      <c r="D261" s="36">
        <v>2023</v>
      </c>
      <c r="E261" s="37">
        <v>1.85</v>
      </c>
      <c r="F261" s="37">
        <v>1.33</v>
      </c>
      <c r="G261" s="37">
        <v>1.33</v>
      </c>
      <c r="H261" s="37">
        <v>3</v>
      </c>
      <c r="I261" s="37">
        <v>1.85</v>
      </c>
      <c r="J261" s="38" t="s">
        <v>210</v>
      </c>
      <c r="K261" s="39">
        <v>0.35</v>
      </c>
      <c r="L261" s="37">
        <v>1.33</v>
      </c>
    </row>
    <row r="262" spans="3:12">
      <c r="C262" s="40" t="s">
        <v>69</v>
      </c>
      <c r="D262" s="36">
        <v>2023</v>
      </c>
      <c r="E262" s="37">
        <v>2.15</v>
      </c>
      <c r="F262" s="37">
        <v>1.57</v>
      </c>
      <c r="G262" s="37">
        <v>1.33</v>
      </c>
      <c r="H262" s="37">
        <v>3.14</v>
      </c>
      <c r="I262" s="37">
        <v>2.15</v>
      </c>
      <c r="J262" s="38" t="s">
        <v>210</v>
      </c>
      <c r="K262" s="37">
        <v>0.33</v>
      </c>
      <c r="L262" s="37">
        <v>1.33</v>
      </c>
    </row>
    <row r="263" spans="3:12">
      <c r="C263" s="40" t="s">
        <v>70</v>
      </c>
      <c r="D263" s="36">
        <v>2023</v>
      </c>
      <c r="E263" s="37">
        <v>2.61</v>
      </c>
      <c r="F263" s="37">
        <v>2.61</v>
      </c>
      <c r="G263" s="37">
        <v>2.61</v>
      </c>
      <c r="H263" s="38" t="s">
        <v>210</v>
      </c>
      <c r="I263" s="37">
        <v>1.9</v>
      </c>
      <c r="J263" s="37">
        <v>2.5299999999999998</v>
      </c>
      <c r="K263" s="37">
        <v>1.1599999999999999</v>
      </c>
      <c r="L263" s="37">
        <v>1.33</v>
      </c>
    </row>
    <row r="264" spans="3:12">
      <c r="C264" s="40" t="s">
        <v>35</v>
      </c>
      <c r="D264" s="36">
        <v>2023</v>
      </c>
      <c r="E264" s="37">
        <v>2.08</v>
      </c>
      <c r="F264" s="37">
        <v>2.08</v>
      </c>
      <c r="G264" s="37">
        <v>2.08</v>
      </c>
      <c r="H264" s="38" t="s">
        <v>210</v>
      </c>
      <c r="I264" s="37">
        <v>1.94</v>
      </c>
      <c r="J264" s="38" t="s">
        <v>210</v>
      </c>
      <c r="K264" s="37">
        <v>0.95</v>
      </c>
      <c r="L264" s="38" t="s">
        <v>24</v>
      </c>
    </row>
    <row r="265" spans="3:12">
      <c r="C265" s="40" t="s">
        <v>71</v>
      </c>
      <c r="D265" s="36">
        <v>2023</v>
      </c>
      <c r="E265" s="37">
        <v>1.82</v>
      </c>
      <c r="F265" s="37">
        <v>1.82</v>
      </c>
      <c r="G265" s="37">
        <v>1.82</v>
      </c>
      <c r="H265" s="37">
        <v>2.04</v>
      </c>
      <c r="I265" s="37">
        <v>1.33</v>
      </c>
      <c r="J265" s="38" t="s">
        <v>210</v>
      </c>
      <c r="K265" s="39">
        <v>0.5</v>
      </c>
      <c r="L265" s="38" t="s">
        <v>24</v>
      </c>
    </row>
    <row r="266" spans="3:12">
      <c r="C266" s="40" t="s">
        <v>36</v>
      </c>
      <c r="D266" s="36">
        <v>2023</v>
      </c>
      <c r="E266" s="37">
        <v>1.95</v>
      </c>
      <c r="F266" s="37">
        <v>1.42</v>
      </c>
      <c r="G266" s="37">
        <v>1.33</v>
      </c>
      <c r="H266" s="37">
        <v>2.5</v>
      </c>
      <c r="I266" s="37">
        <v>1.95</v>
      </c>
      <c r="J266" s="38" t="s">
        <v>210</v>
      </c>
      <c r="K266" s="39">
        <v>0.9</v>
      </c>
      <c r="L266" s="38" t="s">
        <v>24</v>
      </c>
    </row>
    <row r="267" spans="3:12">
      <c r="C267" s="40" t="s">
        <v>37</v>
      </c>
      <c r="D267" s="36">
        <v>2023</v>
      </c>
      <c r="E267" s="37">
        <v>1.98</v>
      </c>
      <c r="F267" s="37">
        <v>1.44</v>
      </c>
      <c r="G267" s="37">
        <v>1.33</v>
      </c>
      <c r="H267" s="37">
        <v>2.0099999999999998</v>
      </c>
      <c r="I267" s="37">
        <v>1.98</v>
      </c>
      <c r="J267" s="38" t="s">
        <v>210</v>
      </c>
      <c r="K267" s="39">
        <v>0.13</v>
      </c>
      <c r="L267" s="38" t="s">
        <v>24</v>
      </c>
    </row>
    <row r="268" spans="3:12">
      <c r="C268" s="40" t="s">
        <v>72</v>
      </c>
      <c r="D268" s="36">
        <v>2023</v>
      </c>
      <c r="E268" s="37">
        <v>1.39</v>
      </c>
      <c r="F268" s="37">
        <v>1.39</v>
      </c>
      <c r="G268" s="37">
        <v>1.33</v>
      </c>
      <c r="H268" s="37">
        <v>2</v>
      </c>
      <c r="I268" s="37">
        <v>1.39</v>
      </c>
      <c r="J268" s="38" t="s">
        <v>210</v>
      </c>
      <c r="K268" s="39">
        <v>0.39</v>
      </c>
      <c r="L268" s="37">
        <v>1.33</v>
      </c>
    </row>
    <row r="269" spans="3:12">
      <c r="C269" s="40" t="s">
        <v>73</v>
      </c>
      <c r="D269" s="36">
        <v>2023</v>
      </c>
      <c r="E269" s="37">
        <v>3.12</v>
      </c>
      <c r="F269" s="37">
        <v>3.12</v>
      </c>
      <c r="G269" s="37">
        <v>3.12</v>
      </c>
      <c r="H269" s="38" t="s">
        <v>210</v>
      </c>
      <c r="I269" s="37">
        <v>2.08</v>
      </c>
      <c r="J269" s="38" t="s">
        <v>210</v>
      </c>
      <c r="K269" s="39">
        <v>0.46</v>
      </c>
      <c r="L269" s="37">
        <v>1.33</v>
      </c>
    </row>
    <row r="270" spans="3:12">
      <c r="C270" s="40" t="s">
        <v>74</v>
      </c>
      <c r="D270" s="36">
        <v>2023</v>
      </c>
      <c r="E270" s="37">
        <v>1.43</v>
      </c>
      <c r="F270" s="37">
        <v>1.43</v>
      </c>
      <c r="G270" s="37">
        <v>1.43</v>
      </c>
      <c r="H270" s="37">
        <v>2</v>
      </c>
      <c r="I270" s="37">
        <v>1.43</v>
      </c>
      <c r="J270" s="37">
        <v>2</v>
      </c>
      <c r="K270" s="39">
        <v>0.49</v>
      </c>
      <c r="L270" s="37">
        <v>1.33</v>
      </c>
    </row>
    <row r="271" spans="3:12">
      <c r="C271" s="40" t="s">
        <v>75</v>
      </c>
      <c r="D271" s="36">
        <v>2023</v>
      </c>
      <c r="E271" s="37">
        <v>2.1</v>
      </c>
      <c r="F271" s="37">
        <v>2.1</v>
      </c>
      <c r="G271" s="37">
        <v>2.1</v>
      </c>
      <c r="H271" s="37">
        <v>3.12</v>
      </c>
      <c r="I271" s="37">
        <v>1.93</v>
      </c>
      <c r="J271" s="38" t="s">
        <v>210</v>
      </c>
      <c r="K271" s="39">
        <v>0.35</v>
      </c>
      <c r="L271" s="37">
        <v>1.33</v>
      </c>
    </row>
    <row r="272" spans="3:12">
      <c r="C272" s="40" t="s">
        <v>76</v>
      </c>
      <c r="D272" s="36">
        <v>2023</v>
      </c>
      <c r="E272" s="37">
        <v>1.58</v>
      </c>
      <c r="F272" s="37">
        <v>1.41</v>
      </c>
      <c r="G272" s="37">
        <v>1.33</v>
      </c>
      <c r="H272" s="37">
        <v>3</v>
      </c>
      <c r="I272" s="37">
        <v>1.85</v>
      </c>
      <c r="J272" s="37">
        <v>3</v>
      </c>
      <c r="K272" s="39">
        <v>0.17</v>
      </c>
      <c r="L272" s="37">
        <v>1.33</v>
      </c>
    </row>
    <row r="273" spans="3:12">
      <c r="C273" s="40" t="s">
        <v>77</v>
      </c>
      <c r="D273" s="36">
        <v>2023</v>
      </c>
      <c r="E273" s="37">
        <v>3.01</v>
      </c>
      <c r="F273" s="37">
        <v>1.86</v>
      </c>
      <c r="G273" s="37">
        <v>1.51</v>
      </c>
      <c r="H273" s="39">
        <v>3.01</v>
      </c>
      <c r="I273" s="37">
        <v>3.01</v>
      </c>
      <c r="J273" s="38" t="s">
        <v>210</v>
      </c>
      <c r="K273" s="39">
        <v>0.95</v>
      </c>
      <c r="L273" s="38" t="s">
        <v>24</v>
      </c>
    </row>
    <row r="274" spans="3:12">
      <c r="C274" s="40" t="s">
        <v>78</v>
      </c>
      <c r="D274" s="36">
        <v>2023</v>
      </c>
      <c r="E274" s="37">
        <v>2</v>
      </c>
      <c r="F274" s="37">
        <v>2</v>
      </c>
      <c r="G274" s="37">
        <v>2</v>
      </c>
      <c r="H274" s="38" t="s">
        <v>210</v>
      </c>
      <c r="I274" s="37">
        <v>1.54</v>
      </c>
      <c r="J274" s="38" t="s">
        <v>210</v>
      </c>
      <c r="K274" s="39">
        <v>0.48</v>
      </c>
      <c r="L274" s="38" t="s">
        <v>24</v>
      </c>
    </row>
    <row r="275" spans="3:12">
      <c r="C275" s="40" t="s">
        <v>253</v>
      </c>
      <c r="D275" s="36">
        <v>2023</v>
      </c>
      <c r="E275" s="37">
        <v>2.202</v>
      </c>
      <c r="F275" s="37">
        <v>1.927</v>
      </c>
      <c r="G275" s="37">
        <v>1.863</v>
      </c>
      <c r="H275" s="39">
        <v>1.728</v>
      </c>
      <c r="I275" s="37">
        <v>2.0249999999999999</v>
      </c>
      <c r="J275" s="38" t="s">
        <v>210</v>
      </c>
      <c r="K275" s="39">
        <v>0.71299999999999997</v>
      </c>
      <c r="L275" s="39">
        <v>1.33</v>
      </c>
    </row>
    <row r="276" spans="3:12">
      <c r="C276" s="35" t="s">
        <v>19</v>
      </c>
      <c r="D276" s="36">
        <v>2024</v>
      </c>
      <c r="E276" s="37">
        <v>1.41</v>
      </c>
      <c r="F276" s="37">
        <v>1.41</v>
      </c>
      <c r="G276" s="37">
        <v>1.41</v>
      </c>
      <c r="H276" s="37">
        <v>3.12</v>
      </c>
      <c r="I276" s="37">
        <v>1.41</v>
      </c>
      <c r="J276" s="38" t="s">
        <v>210</v>
      </c>
      <c r="K276" s="37">
        <v>0.13</v>
      </c>
      <c r="L276" s="38" t="s">
        <v>24</v>
      </c>
    </row>
    <row r="277" spans="3:12">
      <c r="C277" s="35" t="s">
        <v>38</v>
      </c>
      <c r="D277" s="36">
        <v>2024</v>
      </c>
      <c r="E277" s="37">
        <v>2.0299999999999998</v>
      </c>
      <c r="F277" s="37">
        <v>2.0299999999999998</v>
      </c>
      <c r="G277" s="37">
        <v>2.0299999999999998</v>
      </c>
      <c r="H277" s="38" t="s">
        <v>210</v>
      </c>
      <c r="I277" s="37">
        <v>2</v>
      </c>
      <c r="J277" s="38" t="s">
        <v>210</v>
      </c>
      <c r="K277" s="39">
        <v>1.3</v>
      </c>
      <c r="L277" s="37">
        <v>1.33</v>
      </c>
    </row>
    <row r="278" spans="3:12">
      <c r="C278" s="35" t="s">
        <v>39</v>
      </c>
      <c r="D278" s="36">
        <v>2024</v>
      </c>
      <c r="E278" s="37">
        <v>1.47</v>
      </c>
      <c r="F278" s="37">
        <v>1.41</v>
      </c>
      <c r="G278" s="37">
        <v>1.33</v>
      </c>
      <c r="H278" s="37">
        <v>2</v>
      </c>
      <c r="I278" s="37">
        <v>1.56</v>
      </c>
      <c r="J278" s="38" t="s">
        <v>210</v>
      </c>
      <c r="K278" s="37">
        <v>1.06</v>
      </c>
      <c r="L278" s="37">
        <v>1.33</v>
      </c>
    </row>
    <row r="279" spans="3:12">
      <c r="C279" s="35" t="s">
        <v>28</v>
      </c>
      <c r="D279" s="36">
        <v>2024</v>
      </c>
      <c r="E279" s="37">
        <v>1.42</v>
      </c>
      <c r="F279" s="37">
        <v>1.42</v>
      </c>
      <c r="G279" s="37">
        <v>1.42</v>
      </c>
      <c r="H279" s="37">
        <v>2.11</v>
      </c>
      <c r="I279" s="37">
        <v>2.09</v>
      </c>
      <c r="J279" s="38" t="s">
        <v>210</v>
      </c>
      <c r="K279" s="39">
        <v>0.13</v>
      </c>
      <c r="L279" s="37">
        <v>1.33</v>
      </c>
    </row>
    <row r="280" spans="3:12">
      <c r="C280" s="35" t="s">
        <v>40</v>
      </c>
      <c r="D280" s="36">
        <v>2024</v>
      </c>
      <c r="E280" s="37">
        <v>2.61</v>
      </c>
      <c r="F280" s="37">
        <v>2.61</v>
      </c>
      <c r="G280" s="37">
        <v>2.61</v>
      </c>
      <c r="H280" s="38">
        <v>3.17</v>
      </c>
      <c r="I280" s="37">
        <v>2.08</v>
      </c>
      <c r="J280" s="38" t="s">
        <v>210</v>
      </c>
      <c r="K280" s="37">
        <v>1.0900000000000001</v>
      </c>
      <c r="L280" s="37">
        <v>1.33</v>
      </c>
    </row>
    <row r="281" spans="3:12">
      <c r="C281" s="35" t="s">
        <v>41</v>
      </c>
      <c r="D281" s="36">
        <v>2024</v>
      </c>
      <c r="E281" s="37">
        <v>1.42</v>
      </c>
      <c r="F281" s="37">
        <v>1.42</v>
      </c>
      <c r="G281" s="37">
        <v>1.42</v>
      </c>
      <c r="H281" s="37">
        <v>2.6</v>
      </c>
      <c r="I281" s="37">
        <v>1.95</v>
      </c>
      <c r="J281" s="37">
        <v>2.6</v>
      </c>
      <c r="K281" s="37">
        <v>0.68</v>
      </c>
      <c r="L281" s="37">
        <v>1.33</v>
      </c>
    </row>
    <row r="282" spans="3:12">
      <c r="C282" s="35" t="s">
        <v>42</v>
      </c>
      <c r="D282" s="36">
        <v>2024</v>
      </c>
      <c r="E282" s="37">
        <v>1.96</v>
      </c>
      <c r="F282" s="37">
        <v>1.96</v>
      </c>
      <c r="G282" s="37">
        <v>1.96</v>
      </c>
      <c r="H282" s="37">
        <v>3.18</v>
      </c>
      <c r="I282" s="37">
        <v>2.58</v>
      </c>
      <c r="J282" s="38" t="s">
        <v>210</v>
      </c>
      <c r="K282" s="37">
        <v>1.55</v>
      </c>
      <c r="L282" s="37">
        <v>1.33</v>
      </c>
    </row>
    <row r="283" spans="3:12">
      <c r="C283" s="35" t="s">
        <v>43</v>
      </c>
      <c r="D283" s="36">
        <v>2024</v>
      </c>
      <c r="E283" s="37">
        <v>2.12</v>
      </c>
      <c r="F283" s="37">
        <v>1.42</v>
      </c>
      <c r="G283" s="37">
        <v>1.33</v>
      </c>
      <c r="H283" s="39">
        <v>2.12</v>
      </c>
      <c r="I283" s="37">
        <v>2.12</v>
      </c>
      <c r="J283" s="38" t="s">
        <v>210</v>
      </c>
      <c r="K283" s="37">
        <v>0.87</v>
      </c>
      <c r="L283" s="37">
        <v>1.33</v>
      </c>
    </row>
    <row r="284" spans="3:12">
      <c r="C284" s="35" t="s">
        <v>44</v>
      </c>
      <c r="D284" s="36">
        <v>2024</v>
      </c>
      <c r="E284" s="37">
        <v>3.19</v>
      </c>
      <c r="F284" s="37">
        <v>3.19</v>
      </c>
      <c r="G284" s="37">
        <v>3.19</v>
      </c>
      <c r="H284" s="38" t="s">
        <v>210</v>
      </c>
      <c r="I284" s="37">
        <v>3.19</v>
      </c>
      <c r="J284" s="38" t="s">
        <v>210</v>
      </c>
      <c r="K284" s="37">
        <v>2.16</v>
      </c>
      <c r="L284" s="37">
        <v>2.1</v>
      </c>
    </row>
    <row r="285" spans="3:12">
      <c r="C285" s="35" t="s">
        <v>30</v>
      </c>
      <c r="D285" s="36">
        <v>2024</v>
      </c>
      <c r="E285" s="37">
        <v>2.06</v>
      </c>
      <c r="F285" s="37">
        <v>1.4</v>
      </c>
      <c r="G285" s="37">
        <v>1.33</v>
      </c>
      <c r="H285" s="39">
        <v>2.1</v>
      </c>
      <c r="I285" s="37">
        <v>1.91</v>
      </c>
      <c r="J285" s="38" t="s">
        <v>210</v>
      </c>
      <c r="K285" s="39">
        <v>0.24</v>
      </c>
      <c r="L285" s="38" t="s">
        <v>24</v>
      </c>
    </row>
    <row r="286" spans="3:12">
      <c r="C286" s="35" t="s">
        <v>31</v>
      </c>
      <c r="D286" s="36">
        <v>2024</v>
      </c>
      <c r="E286" s="37">
        <v>2.0499999999999998</v>
      </c>
      <c r="F286" s="37">
        <v>1.49</v>
      </c>
      <c r="G286" s="37">
        <v>1.33</v>
      </c>
      <c r="H286" s="37">
        <v>2.4700000000000002</v>
      </c>
      <c r="I286" s="37">
        <v>2.2000000000000002</v>
      </c>
      <c r="J286" s="38" t="s">
        <v>210</v>
      </c>
      <c r="K286" s="39">
        <v>0.28000000000000003</v>
      </c>
      <c r="L286" s="38" t="s">
        <v>24</v>
      </c>
    </row>
    <row r="287" spans="3:12">
      <c r="C287" s="35" t="s">
        <v>45</v>
      </c>
      <c r="D287" s="36">
        <v>2024</v>
      </c>
      <c r="E287" s="37">
        <v>3.08</v>
      </c>
      <c r="F287" s="37">
        <v>3.08</v>
      </c>
      <c r="G287" s="37">
        <v>3.08</v>
      </c>
      <c r="H287" s="38" t="s">
        <v>210</v>
      </c>
      <c r="I287" s="37">
        <v>1.91</v>
      </c>
      <c r="J287" s="38" t="s">
        <v>210</v>
      </c>
      <c r="K287" s="37">
        <v>1.05</v>
      </c>
      <c r="L287" s="37">
        <v>1.33</v>
      </c>
    </row>
    <row r="288" spans="3:12">
      <c r="C288" s="35" t="s">
        <v>46</v>
      </c>
      <c r="D288" s="36">
        <v>2024</v>
      </c>
      <c r="E288" s="37">
        <v>1.42</v>
      </c>
      <c r="F288" s="37">
        <v>1.42</v>
      </c>
      <c r="G288" s="37">
        <v>1.33</v>
      </c>
      <c r="H288" s="37">
        <v>1.85</v>
      </c>
      <c r="I288" s="37">
        <v>1.33</v>
      </c>
      <c r="J288" s="38" t="s">
        <v>210</v>
      </c>
      <c r="K288" s="39">
        <v>0.19</v>
      </c>
      <c r="L288" s="37">
        <v>1.33</v>
      </c>
    </row>
    <row r="289" spans="3:12">
      <c r="C289" s="35" t="s">
        <v>47</v>
      </c>
      <c r="D289" s="36">
        <v>2024</v>
      </c>
      <c r="E289" s="37">
        <v>3.13</v>
      </c>
      <c r="F289" s="37">
        <v>3.13</v>
      </c>
      <c r="G289" s="37">
        <v>3.13</v>
      </c>
      <c r="H289" s="38" t="s">
        <v>210</v>
      </c>
      <c r="I289" s="37">
        <v>2.08</v>
      </c>
      <c r="J289" s="38" t="s">
        <v>210</v>
      </c>
      <c r="K289" s="37">
        <v>1.33</v>
      </c>
      <c r="L289" s="37">
        <v>1.33</v>
      </c>
    </row>
    <row r="290" spans="3:12">
      <c r="C290" s="35" t="s">
        <v>48</v>
      </c>
      <c r="D290" s="36">
        <v>2024</v>
      </c>
      <c r="E290" s="37">
        <v>2.08</v>
      </c>
      <c r="F290" s="37">
        <v>1.58</v>
      </c>
      <c r="G290" s="37">
        <v>1.58</v>
      </c>
      <c r="H290" s="37">
        <v>2.5</v>
      </c>
      <c r="I290" s="37">
        <v>2.08</v>
      </c>
      <c r="J290" s="38" t="s">
        <v>210</v>
      </c>
      <c r="K290" s="39">
        <v>0.15</v>
      </c>
      <c r="L290" s="37">
        <v>1.33</v>
      </c>
    </row>
    <row r="291" spans="3:12">
      <c r="C291" s="35" t="s">
        <v>49</v>
      </c>
      <c r="D291" s="36">
        <v>2024</v>
      </c>
      <c r="E291" s="37">
        <v>3.75</v>
      </c>
      <c r="F291" s="37">
        <v>1.67</v>
      </c>
      <c r="G291" s="37">
        <v>1.67</v>
      </c>
      <c r="H291" s="39">
        <v>3.02</v>
      </c>
      <c r="I291" s="37">
        <v>3.75</v>
      </c>
      <c r="J291" s="38" t="s">
        <v>210</v>
      </c>
      <c r="K291" s="39">
        <v>0.44</v>
      </c>
      <c r="L291" s="37">
        <v>1.33</v>
      </c>
    </row>
    <row r="292" spans="3:12">
      <c r="C292" s="35" t="s">
        <v>50</v>
      </c>
      <c r="D292" s="36">
        <v>2024</v>
      </c>
      <c r="E292" s="37">
        <v>1.66</v>
      </c>
      <c r="F292" s="37">
        <v>1.49</v>
      </c>
      <c r="G292" s="37">
        <v>1.33</v>
      </c>
      <c r="H292" s="37">
        <v>2.5</v>
      </c>
      <c r="I292" s="37">
        <v>1.66</v>
      </c>
      <c r="J292" s="38" t="s">
        <v>210</v>
      </c>
      <c r="K292" s="37">
        <v>0.33</v>
      </c>
      <c r="L292" s="38" t="s">
        <v>24</v>
      </c>
    </row>
    <row r="293" spans="3:12">
      <c r="C293" s="35" t="s">
        <v>51</v>
      </c>
      <c r="D293" s="36">
        <v>2024</v>
      </c>
      <c r="E293" s="37">
        <v>2.13</v>
      </c>
      <c r="F293" s="37">
        <v>2.13</v>
      </c>
      <c r="G293" s="37">
        <v>2.13</v>
      </c>
      <c r="H293" s="37" t="s">
        <v>210</v>
      </c>
      <c r="I293" s="37">
        <v>1.95</v>
      </c>
      <c r="J293" s="37">
        <v>2.13</v>
      </c>
      <c r="K293" s="39">
        <v>0.19</v>
      </c>
      <c r="L293" s="37">
        <v>1.33</v>
      </c>
    </row>
    <row r="294" spans="3:12">
      <c r="C294" s="35" t="s">
        <v>32</v>
      </c>
      <c r="D294" s="36">
        <v>2024</v>
      </c>
      <c r="E294" s="37">
        <v>2.12</v>
      </c>
      <c r="F294" s="37">
        <v>2.12</v>
      </c>
      <c r="G294" s="37">
        <v>2.12</v>
      </c>
      <c r="H294" s="37">
        <v>2.5</v>
      </c>
      <c r="I294" s="37">
        <v>1.33</v>
      </c>
      <c r="J294" s="38" t="s">
        <v>210</v>
      </c>
      <c r="K294" s="37">
        <v>0.19</v>
      </c>
      <c r="L294" s="37">
        <v>1.33</v>
      </c>
    </row>
    <row r="295" spans="3:12">
      <c r="C295" s="35" t="s">
        <v>52</v>
      </c>
      <c r="D295" s="36">
        <v>2024</v>
      </c>
      <c r="E295" s="37">
        <v>3</v>
      </c>
      <c r="F295" s="37">
        <v>3</v>
      </c>
      <c r="G295" s="37">
        <v>3</v>
      </c>
      <c r="H295" s="37" t="s">
        <v>210</v>
      </c>
      <c r="I295" s="37">
        <v>2.09</v>
      </c>
      <c r="J295" s="38" t="s">
        <v>210</v>
      </c>
      <c r="K295" s="37">
        <v>1</v>
      </c>
      <c r="L295" s="37">
        <v>1.33</v>
      </c>
    </row>
    <row r="296" spans="3:12">
      <c r="C296" s="35" t="s">
        <v>53</v>
      </c>
      <c r="D296" s="36">
        <v>2024</v>
      </c>
      <c r="E296" s="37">
        <v>3.17</v>
      </c>
      <c r="F296" s="37">
        <v>3.17</v>
      </c>
      <c r="G296" s="37">
        <v>3.17</v>
      </c>
      <c r="H296" s="38" t="s">
        <v>210</v>
      </c>
      <c r="I296" s="37">
        <v>2.59</v>
      </c>
      <c r="J296" s="38" t="s">
        <v>210</v>
      </c>
      <c r="K296" s="37">
        <v>1.23</v>
      </c>
      <c r="L296" s="37">
        <v>1.33</v>
      </c>
    </row>
    <row r="297" spans="3:12">
      <c r="C297" s="35" t="s">
        <v>54</v>
      </c>
      <c r="D297" s="36">
        <v>2024</v>
      </c>
      <c r="E297" s="37">
        <v>2</v>
      </c>
      <c r="F297" s="37">
        <v>1.5</v>
      </c>
      <c r="G297" s="37">
        <v>1.5</v>
      </c>
      <c r="H297" s="37">
        <v>3</v>
      </c>
      <c r="I297" s="37">
        <v>2</v>
      </c>
      <c r="J297" s="38" t="s">
        <v>210</v>
      </c>
      <c r="K297" s="37">
        <v>1.33</v>
      </c>
      <c r="L297" s="37">
        <v>1.33</v>
      </c>
    </row>
    <row r="298" spans="3:12">
      <c r="C298" s="35" t="s">
        <v>55</v>
      </c>
      <c r="D298" s="36">
        <v>2024</v>
      </c>
      <c r="E298" s="37">
        <v>2.12</v>
      </c>
      <c r="F298" s="37">
        <v>2.12</v>
      </c>
      <c r="G298" s="37">
        <v>2.12</v>
      </c>
      <c r="H298" s="38" t="s">
        <v>210</v>
      </c>
      <c r="I298" s="37">
        <v>1.95</v>
      </c>
      <c r="J298" s="38" t="s">
        <v>210</v>
      </c>
      <c r="K298" s="37">
        <v>0.54</v>
      </c>
      <c r="L298" s="37">
        <v>1.33</v>
      </c>
    </row>
    <row r="299" spans="3:12">
      <c r="C299" s="40" t="s">
        <v>56</v>
      </c>
      <c r="D299" s="36">
        <v>2024</v>
      </c>
      <c r="E299" s="37">
        <v>2.83</v>
      </c>
      <c r="F299" s="37">
        <v>2.75</v>
      </c>
      <c r="G299" s="37">
        <v>2.75</v>
      </c>
      <c r="H299" s="38" t="s">
        <v>210</v>
      </c>
      <c r="I299" s="37">
        <v>2.78</v>
      </c>
      <c r="J299" s="38" t="s">
        <v>210</v>
      </c>
      <c r="K299" s="37">
        <v>1.33</v>
      </c>
      <c r="L299" s="37">
        <v>2</v>
      </c>
    </row>
    <row r="300" spans="3:12">
      <c r="C300" s="40" t="s">
        <v>33</v>
      </c>
      <c r="D300" s="36">
        <v>2024</v>
      </c>
      <c r="E300" s="37">
        <v>1.94</v>
      </c>
      <c r="F300" s="37">
        <v>1.43</v>
      </c>
      <c r="G300" s="37">
        <v>1.33</v>
      </c>
      <c r="H300" s="37">
        <v>2.09</v>
      </c>
      <c r="I300" s="37">
        <v>1.94</v>
      </c>
      <c r="J300" s="38" t="s">
        <v>210</v>
      </c>
      <c r="K300" s="39">
        <v>0.19</v>
      </c>
      <c r="L300" s="38" t="s">
        <v>24</v>
      </c>
    </row>
    <row r="301" spans="3:12">
      <c r="C301" s="40" t="s">
        <v>57</v>
      </c>
      <c r="D301" s="36">
        <v>2024</v>
      </c>
      <c r="E301" s="37">
        <v>1.96</v>
      </c>
      <c r="F301" s="37">
        <v>1.5</v>
      </c>
      <c r="G301" s="37">
        <v>1.5</v>
      </c>
      <c r="H301" s="37">
        <v>3</v>
      </c>
      <c r="I301" s="37">
        <v>1.96</v>
      </c>
      <c r="J301" s="37">
        <v>3</v>
      </c>
      <c r="K301" s="37">
        <v>0.15</v>
      </c>
      <c r="L301" s="37">
        <v>1.33</v>
      </c>
    </row>
    <row r="302" spans="3:12">
      <c r="C302" s="40" t="s">
        <v>58</v>
      </c>
      <c r="D302" s="36">
        <v>2024</v>
      </c>
      <c r="E302" s="37">
        <v>1.43</v>
      </c>
      <c r="F302" s="37">
        <v>1.43</v>
      </c>
      <c r="G302" s="37">
        <v>1.43</v>
      </c>
      <c r="H302" s="37">
        <v>2.61</v>
      </c>
      <c r="I302" s="37">
        <v>1.57</v>
      </c>
      <c r="J302" s="38" t="s">
        <v>210</v>
      </c>
      <c r="K302" s="37">
        <v>0.24</v>
      </c>
      <c r="L302" s="37">
        <v>1.33</v>
      </c>
    </row>
    <row r="303" spans="3:12">
      <c r="C303" s="40" t="s">
        <v>59</v>
      </c>
      <c r="D303" s="36">
        <v>2024</v>
      </c>
      <c r="E303" s="37">
        <v>2.13</v>
      </c>
      <c r="F303" s="37">
        <v>2.13</v>
      </c>
      <c r="G303" s="37">
        <v>2.13</v>
      </c>
      <c r="H303" s="38" t="s">
        <v>210</v>
      </c>
      <c r="I303" s="37">
        <v>1.94</v>
      </c>
      <c r="J303" s="38" t="s">
        <v>210</v>
      </c>
      <c r="K303" s="37">
        <v>0.57999999999999996</v>
      </c>
      <c r="L303" s="37">
        <v>1.33</v>
      </c>
    </row>
    <row r="304" spans="3:12">
      <c r="C304" s="40" t="s">
        <v>60</v>
      </c>
      <c r="D304" s="36">
        <v>2024</v>
      </c>
      <c r="E304" s="37">
        <v>1.6</v>
      </c>
      <c r="F304" s="37">
        <v>1.6</v>
      </c>
      <c r="G304" s="37">
        <v>1.33</v>
      </c>
      <c r="H304" s="37">
        <v>2</v>
      </c>
      <c r="I304" s="37">
        <v>1.6</v>
      </c>
      <c r="J304" s="38" t="s">
        <v>210</v>
      </c>
      <c r="K304" s="39">
        <v>0.26</v>
      </c>
      <c r="L304" s="37">
        <v>1.33</v>
      </c>
    </row>
    <row r="305" spans="3:12">
      <c r="C305" s="40" t="s">
        <v>61</v>
      </c>
      <c r="D305" s="36">
        <v>2024</v>
      </c>
      <c r="E305" s="37">
        <v>3.18</v>
      </c>
      <c r="F305" s="37">
        <v>3.18</v>
      </c>
      <c r="G305" s="37">
        <v>3.18</v>
      </c>
      <c r="H305" s="38" t="s">
        <v>210</v>
      </c>
      <c r="I305" s="37">
        <v>1.96</v>
      </c>
      <c r="J305" s="38" t="s">
        <v>210</v>
      </c>
      <c r="K305" s="39">
        <v>0.55000000000000004</v>
      </c>
      <c r="L305" s="37">
        <v>1.33</v>
      </c>
    </row>
    <row r="306" spans="3:12">
      <c r="C306" s="40" t="s">
        <v>62</v>
      </c>
      <c r="D306" s="36">
        <v>2024</v>
      </c>
      <c r="E306" s="37">
        <v>1.94</v>
      </c>
      <c r="F306" s="37">
        <v>1.42</v>
      </c>
      <c r="G306" s="37">
        <v>1.42</v>
      </c>
      <c r="H306" s="37">
        <v>3.5</v>
      </c>
      <c r="I306" s="37">
        <v>1.94</v>
      </c>
      <c r="J306" s="37">
        <v>2</v>
      </c>
      <c r="K306" s="39">
        <v>0.26</v>
      </c>
      <c r="L306" s="37">
        <v>1.33</v>
      </c>
    </row>
    <row r="307" spans="3:12">
      <c r="C307" s="40" t="s">
        <v>63</v>
      </c>
      <c r="D307" s="36">
        <v>2024</v>
      </c>
      <c r="E307" s="37">
        <v>3</v>
      </c>
      <c r="F307" s="37">
        <v>3</v>
      </c>
      <c r="G307" s="37">
        <v>2.4</v>
      </c>
      <c r="H307" s="38" t="s">
        <v>210</v>
      </c>
      <c r="I307" s="37">
        <v>2.5</v>
      </c>
      <c r="J307" s="38" t="s">
        <v>210</v>
      </c>
      <c r="K307" s="39">
        <v>0.37</v>
      </c>
      <c r="L307" s="37">
        <v>1.33</v>
      </c>
    </row>
    <row r="308" spans="3:12">
      <c r="C308" s="40" t="s">
        <v>64</v>
      </c>
      <c r="D308" s="36">
        <v>2024</v>
      </c>
      <c r="E308" s="37">
        <v>2.1800000000000002</v>
      </c>
      <c r="F308" s="37">
        <v>1.49</v>
      </c>
      <c r="G308" s="37">
        <v>1.49</v>
      </c>
      <c r="H308" s="37">
        <v>4</v>
      </c>
      <c r="I308" s="37">
        <v>2.1800000000000002</v>
      </c>
      <c r="J308" s="38" t="s">
        <v>210</v>
      </c>
      <c r="K308" s="37">
        <v>1.33</v>
      </c>
      <c r="L308" s="37">
        <v>2</v>
      </c>
    </row>
    <row r="309" spans="3:12">
      <c r="C309" s="40" t="s">
        <v>34</v>
      </c>
      <c r="D309" s="36">
        <v>2024</v>
      </c>
      <c r="E309" s="37">
        <v>2.11</v>
      </c>
      <c r="F309" s="37">
        <v>2.11</v>
      </c>
      <c r="G309" s="37">
        <v>2.11</v>
      </c>
      <c r="H309" s="39" t="s">
        <v>210</v>
      </c>
      <c r="I309" s="37">
        <v>1.96</v>
      </c>
      <c r="J309" s="38" t="s">
        <v>210</v>
      </c>
      <c r="K309" s="39">
        <v>0.36</v>
      </c>
      <c r="L309" s="39">
        <v>1.33</v>
      </c>
    </row>
    <row r="310" spans="3:12">
      <c r="C310" s="40" t="s">
        <v>65</v>
      </c>
      <c r="D310" s="36">
        <v>2024</v>
      </c>
      <c r="E310" s="37">
        <v>1.7</v>
      </c>
      <c r="F310" s="37">
        <v>1.7</v>
      </c>
      <c r="G310" s="37">
        <v>1.7</v>
      </c>
      <c r="H310" s="38" t="s">
        <v>210</v>
      </c>
      <c r="I310" s="37">
        <v>1.7</v>
      </c>
      <c r="J310" s="38" t="s">
        <v>210</v>
      </c>
      <c r="K310" s="39">
        <v>0.43</v>
      </c>
      <c r="L310" s="37">
        <v>1.33</v>
      </c>
    </row>
    <row r="311" spans="3:12">
      <c r="C311" s="40" t="s">
        <v>66</v>
      </c>
      <c r="D311" s="36">
        <v>2024</v>
      </c>
      <c r="E311" s="37">
        <v>2.06</v>
      </c>
      <c r="F311" s="37">
        <v>2.06</v>
      </c>
      <c r="G311" s="37">
        <v>2.06</v>
      </c>
      <c r="H311" s="38" t="s">
        <v>210</v>
      </c>
      <c r="I311" s="37">
        <v>2</v>
      </c>
      <c r="J311" s="38" t="s">
        <v>210</v>
      </c>
      <c r="K311" s="37">
        <v>0.9</v>
      </c>
      <c r="L311" s="37">
        <v>1.33</v>
      </c>
    </row>
    <row r="312" spans="3:12">
      <c r="C312" s="40" t="s">
        <v>67</v>
      </c>
      <c r="D312" s="36">
        <v>2024</v>
      </c>
      <c r="E312" s="37">
        <v>2.0499999999999998</v>
      </c>
      <c r="F312" s="37">
        <v>2.0499999999999998</v>
      </c>
      <c r="G312" s="37">
        <v>2.0499999999999998</v>
      </c>
      <c r="H312" s="38" t="s">
        <v>210</v>
      </c>
      <c r="I312" s="37">
        <v>2.0499999999999998</v>
      </c>
      <c r="J312" s="38" t="s">
        <v>210</v>
      </c>
      <c r="K312" s="39">
        <v>0.33</v>
      </c>
      <c r="L312" s="37">
        <v>1.33</v>
      </c>
    </row>
    <row r="313" spans="3:12">
      <c r="C313" s="40" t="s">
        <v>68</v>
      </c>
      <c r="D313" s="36">
        <v>2024</v>
      </c>
      <c r="E313" s="37">
        <v>1.85</v>
      </c>
      <c r="F313" s="37">
        <v>1.33</v>
      </c>
      <c r="G313" s="37">
        <v>1.33</v>
      </c>
      <c r="H313" s="37">
        <v>3</v>
      </c>
      <c r="I313" s="37">
        <v>1.85</v>
      </c>
      <c r="J313" s="38" t="s">
        <v>210</v>
      </c>
      <c r="K313" s="39">
        <v>0.33</v>
      </c>
      <c r="L313" s="37">
        <v>1.33</v>
      </c>
    </row>
    <row r="314" spans="3:12">
      <c r="C314" s="40" t="s">
        <v>69</v>
      </c>
      <c r="D314" s="36">
        <v>2024</v>
      </c>
      <c r="E314" s="37">
        <v>2.15</v>
      </c>
      <c r="F314" s="37">
        <v>1.57</v>
      </c>
      <c r="G314" s="37">
        <v>1.33</v>
      </c>
      <c r="H314" s="37">
        <v>3.14</v>
      </c>
      <c r="I314" s="37">
        <v>2.15</v>
      </c>
      <c r="J314" s="38" t="s">
        <v>210</v>
      </c>
      <c r="K314" s="37">
        <v>0.33</v>
      </c>
      <c r="L314" s="37">
        <v>1.33</v>
      </c>
    </row>
    <row r="315" spans="3:12">
      <c r="C315" s="40" t="s">
        <v>70</v>
      </c>
      <c r="D315" s="36">
        <v>2024</v>
      </c>
      <c r="E315" s="37">
        <v>2.61</v>
      </c>
      <c r="F315" s="37">
        <v>2.61</v>
      </c>
      <c r="G315" s="37">
        <v>2.61</v>
      </c>
      <c r="H315" s="38" t="s">
        <v>210</v>
      </c>
      <c r="I315" s="37">
        <v>1.9</v>
      </c>
      <c r="J315" s="37">
        <v>2.5299999999999998</v>
      </c>
      <c r="K315" s="37">
        <v>1.1599999999999999</v>
      </c>
      <c r="L315" s="37">
        <v>1.33</v>
      </c>
    </row>
    <row r="316" spans="3:12">
      <c r="C316" s="40" t="s">
        <v>35</v>
      </c>
      <c r="D316" s="36">
        <v>2024</v>
      </c>
      <c r="E316" s="37">
        <v>2.08</v>
      </c>
      <c r="F316" s="37">
        <v>2.08</v>
      </c>
      <c r="G316" s="37">
        <v>2.08</v>
      </c>
      <c r="H316" s="38" t="s">
        <v>210</v>
      </c>
      <c r="I316" s="37">
        <v>1.94</v>
      </c>
      <c r="J316" s="38" t="s">
        <v>210</v>
      </c>
      <c r="K316" s="37">
        <v>0.95</v>
      </c>
      <c r="L316" s="38" t="s">
        <v>24</v>
      </c>
    </row>
    <row r="317" spans="3:12">
      <c r="C317" s="40" t="s">
        <v>71</v>
      </c>
      <c r="D317" s="36">
        <v>2024</v>
      </c>
      <c r="E317" s="37">
        <v>1.82</v>
      </c>
      <c r="F317" s="37">
        <v>1.82</v>
      </c>
      <c r="G317" s="37">
        <v>1.82</v>
      </c>
      <c r="H317" s="37">
        <v>2.04</v>
      </c>
      <c r="I317" s="37">
        <v>1.33</v>
      </c>
      <c r="J317" s="38" t="s">
        <v>210</v>
      </c>
      <c r="K317" s="39">
        <v>0.46</v>
      </c>
      <c r="L317" s="38">
        <v>1.33</v>
      </c>
    </row>
    <row r="318" spans="3:12">
      <c r="C318" s="40" t="s">
        <v>36</v>
      </c>
      <c r="D318" s="36">
        <v>2024</v>
      </c>
      <c r="E318" s="37">
        <v>1.95</v>
      </c>
      <c r="F318" s="37">
        <v>1.42</v>
      </c>
      <c r="G318" s="37">
        <v>1.33</v>
      </c>
      <c r="H318" s="37">
        <v>2.5</v>
      </c>
      <c r="I318" s="37">
        <v>1.95</v>
      </c>
      <c r="J318" s="38" t="s">
        <v>210</v>
      </c>
      <c r="K318" s="39">
        <v>0.84</v>
      </c>
      <c r="L318" s="38" t="s">
        <v>24</v>
      </c>
    </row>
    <row r="319" spans="3:12">
      <c r="C319" s="40" t="s">
        <v>37</v>
      </c>
      <c r="D319" s="36">
        <v>2024</v>
      </c>
      <c r="E319" s="37">
        <v>1.98</v>
      </c>
      <c r="F319" s="37">
        <v>1.44</v>
      </c>
      <c r="G319" s="37">
        <v>1.33</v>
      </c>
      <c r="H319" s="37">
        <v>2.0099999999999998</v>
      </c>
      <c r="I319" s="37">
        <v>1.98</v>
      </c>
      <c r="J319" s="38" t="s">
        <v>210</v>
      </c>
      <c r="K319" s="39">
        <v>0.12</v>
      </c>
      <c r="L319" s="38" t="s">
        <v>24</v>
      </c>
    </row>
    <row r="320" spans="3:12">
      <c r="C320" s="40" t="s">
        <v>72</v>
      </c>
      <c r="D320" s="36">
        <v>2024</v>
      </c>
      <c r="E320" s="37">
        <v>1.39</v>
      </c>
      <c r="F320" s="37">
        <v>1.39</v>
      </c>
      <c r="G320" s="37">
        <v>1.33</v>
      </c>
      <c r="H320" s="37">
        <v>2</v>
      </c>
      <c r="I320" s="37">
        <v>1.39</v>
      </c>
      <c r="J320" s="38" t="s">
        <v>210</v>
      </c>
      <c r="K320" s="39">
        <v>0.36</v>
      </c>
      <c r="L320" s="37">
        <v>1.33</v>
      </c>
    </row>
    <row r="321" spans="2:12">
      <c r="C321" s="40" t="s">
        <v>73</v>
      </c>
      <c r="D321" s="36">
        <v>2024</v>
      </c>
      <c r="E321" s="37">
        <v>3.12</v>
      </c>
      <c r="F321" s="37">
        <v>3.12</v>
      </c>
      <c r="G321" s="37">
        <v>3.12</v>
      </c>
      <c r="H321" s="38" t="s">
        <v>210</v>
      </c>
      <c r="I321" s="37">
        <v>2.08</v>
      </c>
      <c r="J321" s="38" t="s">
        <v>210</v>
      </c>
      <c r="K321" s="39">
        <v>0.43</v>
      </c>
      <c r="L321" s="37">
        <v>1.33</v>
      </c>
    </row>
    <row r="322" spans="2:12">
      <c r="C322" s="40" t="s">
        <v>74</v>
      </c>
      <c r="D322" s="36">
        <v>2024</v>
      </c>
      <c r="E322" s="37">
        <v>1.43</v>
      </c>
      <c r="F322" s="37">
        <v>1.43</v>
      </c>
      <c r="G322" s="37">
        <v>1.43</v>
      </c>
      <c r="H322" s="37">
        <v>2</v>
      </c>
      <c r="I322" s="37">
        <v>1.43</v>
      </c>
      <c r="J322" s="37">
        <v>2</v>
      </c>
      <c r="K322" s="39">
        <v>0.49</v>
      </c>
      <c r="L322" s="37">
        <v>1.33</v>
      </c>
    </row>
    <row r="323" spans="2:12">
      <c r="C323" s="40" t="s">
        <v>75</v>
      </c>
      <c r="D323" s="36">
        <v>2024</v>
      </c>
      <c r="E323" s="37">
        <v>2.1</v>
      </c>
      <c r="F323" s="37">
        <v>2.1</v>
      </c>
      <c r="G323" s="37">
        <v>2.1</v>
      </c>
      <c r="H323" s="37">
        <v>3.12</v>
      </c>
      <c r="I323" s="37">
        <v>1.93</v>
      </c>
      <c r="J323" s="38" t="s">
        <v>210</v>
      </c>
      <c r="K323" s="39">
        <v>0.33</v>
      </c>
      <c r="L323" s="37">
        <v>1.33</v>
      </c>
    </row>
    <row r="324" spans="2:12">
      <c r="C324" s="40" t="s">
        <v>76</v>
      </c>
      <c r="D324" s="36">
        <v>2024</v>
      </c>
      <c r="E324" s="37">
        <v>1.58</v>
      </c>
      <c r="F324" s="37">
        <v>1.41</v>
      </c>
      <c r="G324" s="37">
        <v>1.33</v>
      </c>
      <c r="H324" s="37">
        <v>3</v>
      </c>
      <c r="I324" s="37">
        <v>1.85</v>
      </c>
      <c r="J324" s="37">
        <v>3</v>
      </c>
      <c r="K324" s="39">
        <v>0.16</v>
      </c>
      <c r="L324" s="37">
        <v>1.33</v>
      </c>
    </row>
    <row r="325" spans="2:12">
      <c r="C325" s="40" t="s">
        <v>77</v>
      </c>
      <c r="D325" s="36">
        <v>2024</v>
      </c>
      <c r="E325" s="37">
        <v>3.01</v>
      </c>
      <c r="F325" s="37">
        <v>1.86</v>
      </c>
      <c r="G325" s="37">
        <v>1.51</v>
      </c>
      <c r="H325" s="39">
        <v>3.01</v>
      </c>
      <c r="I325" s="37">
        <v>3.01</v>
      </c>
      <c r="J325" s="38" t="s">
        <v>210</v>
      </c>
      <c r="K325" s="39">
        <v>0.95</v>
      </c>
      <c r="L325" s="38">
        <v>0.95</v>
      </c>
    </row>
    <row r="326" spans="2:12">
      <c r="C326" s="40" t="s">
        <v>78</v>
      </c>
      <c r="D326" s="36">
        <v>2024</v>
      </c>
      <c r="E326" s="37">
        <v>2</v>
      </c>
      <c r="F326" s="37">
        <v>2</v>
      </c>
      <c r="G326" s="37">
        <v>2</v>
      </c>
      <c r="H326" s="38" t="s">
        <v>210</v>
      </c>
      <c r="I326" s="37">
        <v>1.54</v>
      </c>
      <c r="J326" s="38" t="s">
        <v>210</v>
      </c>
      <c r="K326" s="39">
        <v>0.45</v>
      </c>
      <c r="L326" s="38" t="s">
        <v>24</v>
      </c>
    </row>
    <row r="327" spans="2:12">
      <c r="C327" s="40" t="s">
        <v>253</v>
      </c>
      <c r="D327" s="36">
        <v>2024</v>
      </c>
      <c r="E327" s="37">
        <v>2.21</v>
      </c>
      <c r="F327" s="37">
        <v>1.9430000000000001</v>
      </c>
      <c r="G327" s="37">
        <v>1.899</v>
      </c>
      <c r="H327" s="39">
        <v>2.1230000000000002</v>
      </c>
      <c r="I327" s="37">
        <v>2.0350000000000001</v>
      </c>
      <c r="J327" s="38" t="s">
        <v>210</v>
      </c>
      <c r="K327" s="39">
        <v>0.70599999999999996</v>
      </c>
      <c r="L327" s="39">
        <v>1.33</v>
      </c>
    </row>
    <row r="328" spans="2:12">
      <c r="D328" s="7"/>
      <c r="F328" s="3"/>
      <c r="G328" s="8"/>
      <c r="H328" s="9"/>
      <c r="I328" s="8"/>
      <c r="J328" s="8"/>
    </row>
    <row r="329" spans="2:12">
      <c r="B329" s="2" t="s">
        <v>79</v>
      </c>
      <c r="D329" s="7"/>
      <c r="F329" s="3"/>
      <c r="G329" s="8"/>
      <c r="H329" s="9"/>
      <c r="I329" s="8"/>
      <c r="J329" s="8"/>
    </row>
    <row r="330" spans="2:12" ht="16.5">
      <c r="C330" s="12" t="s">
        <v>80</v>
      </c>
      <c r="D330" s="7"/>
      <c r="F330" s="3"/>
      <c r="G330" s="8"/>
      <c r="H330" s="9"/>
      <c r="I330" s="8"/>
      <c r="J330" s="8"/>
    </row>
    <row r="331" spans="2:12" ht="16.5">
      <c r="C331" s="12" t="s">
        <v>81</v>
      </c>
      <c r="D331" s="7"/>
      <c r="F331" s="3"/>
      <c r="G331" s="8"/>
      <c r="H331" s="9"/>
      <c r="I331" s="8"/>
      <c r="J331" s="8"/>
    </row>
    <row r="332" spans="2:12" ht="16.5">
      <c r="C332" s="12" t="s">
        <v>82</v>
      </c>
      <c r="D332" s="7"/>
      <c r="F332" s="3"/>
      <c r="G332" s="8"/>
      <c r="H332" s="9"/>
      <c r="I332" s="8"/>
      <c r="J332" s="8"/>
    </row>
    <row r="333" spans="2:12" ht="16.5">
      <c r="C333" s="12" t="s">
        <v>83</v>
      </c>
    </row>
    <row r="334" spans="2:12" ht="16.5">
      <c r="C334" s="12" t="s">
        <v>84</v>
      </c>
    </row>
    <row r="335" spans="2:12" ht="16.5">
      <c r="C335" s="12" t="s">
        <v>85</v>
      </c>
    </row>
    <row r="336" spans="2:12" ht="16.5">
      <c r="C336" s="12" t="s">
        <v>86</v>
      </c>
    </row>
    <row r="337" spans="2:5" ht="16.5">
      <c r="C337" s="12" t="s">
        <v>87</v>
      </c>
    </row>
    <row r="338" spans="2:5" ht="16.5">
      <c r="C338" s="12" t="s">
        <v>88</v>
      </c>
    </row>
    <row r="339" spans="2:5" ht="16.5">
      <c r="C339" s="13" t="s">
        <v>89</v>
      </c>
    </row>
    <row r="340" spans="2:5" ht="16.5">
      <c r="C340" s="13" t="s">
        <v>90</v>
      </c>
    </row>
    <row r="341" spans="2:5" ht="16.5">
      <c r="C341" s="12" t="s">
        <v>91</v>
      </c>
    </row>
    <row r="342" spans="2:5" ht="16.5">
      <c r="C342" s="12" t="s">
        <v>92</v>
      </c>
    </row>
    <row r="343" spans="2:5" ht="16.5">
      <c r="C343" s="12" t="s">
        <v>93</v>
      </c>
    </row>
    <row r="344" spans="2:5" ht="16.5">
      <c r="C344" s="12"/>
    </row>
    <row r="346" spans="2:5">
      <c r="B346" s="2" t="s">
        <v>94</v>
      </c>
    </row>
    <row r="347" spans="2:5">
      <c r="D347" s="10">
        <v>0</v>
      </c>
      <c r="E347" t="s">
        <v>95</v>
      </c>
    </row>
    <row r="348" spans="2:5">
      <c r="D348" s="11">
        <v>1</v>
      </c>
      <c r="E348" t="s">
        <v>96</v>
      </c>
    </row>
    <row r="349" spans="2:5">
      <c r="D349" s="10" t="s">
        <v>20</v>
      </c>
      <c r="E349" t="s">
        <v>97</v>
      </c>
    </row>
    <row r="350" spans="2:5">
      <c r="D350" s="11" t="s">
        <v>21</v>
      </c>
      <c r="E350" t="s">
        <v>98</v>
      </c>
    </row>
    <row r="351" spans="2:5">
      <c r="D351" s="10" t="s">
        <v>22</v>
      </c>
      <c r="E351" t="s">
        <v>22</v>
      </c>
    </row>
    <row r="352" spans="2:5">
      <c r="D352" s="11" t="s">
        <v>23</v>
      </c>
      <c r="E352" t="s">
        <v>99</v>
      </c>
    </row>
    <row r="353" spans="2:6">
      <c r="D353" s="10" t="s">
        <v>25</v>
      </c>
      <c r="E353" t="s">
        <v>100</v>
      </c>
    </row>
    <row r="354" spans="2:6">
      <c r="D354" s="11" t="s">
        <v>26</v>
      </c>
      <c r="E354" t="s">
        <v>101</v>
      </c>
    </row>
    <row r="355" spans="2:6">
      <c r="D355" s="10" t="s">
        <v>27</v>
      </c>
      <c r="E355" t="s">
        <v>102</v>
      </c>
    </row>
    <row r="356" spans="2:6">
      <c r="D356" s="7" t="s">
        <v>103</v>
      </c>
      <c r="E356" t="s">
        <v>104</v>
      </c>
    </row>
    <row r="358" spans="2:6">
      <c r="B358" s="2" t="s">
        <v>105</v>
      </c>
    </row>
    <row r="359" spans="2:6">
      <c r="C359" s="14" t="s">
        <v>106</v>
      </c>
      <c r="D359" t="s">
        <v>107</v>
      </c>
    </row>
    <row r="360" spans="2:6">
      <c r="C360" s="14" t="s">
        <v>108</v>
      </c>
      <c r="D360" s="14" t="s">
        <v>109</v>
      </c>
      <c r="E360" t="s">
        <v>31</v>
      </c>
      <c r="F360" t="s">
        <v>110</v>
      </c>
    </row>
    <row r="361" spans="2:6">
      <c r="D361" s="14" t="s">
        <v>111</v>
      </c>
      <c r="E361">
        <v>0</v>
      </c>
    </row>
    <row r="362" spans="2:6">
      <c r="D362" s="14" t="s">
        <v>112</v>
      </c>
      <c r="E362">
        <v>2019</v>
      </c>
    </row>
    <row r="363" spans="2:6">
      <c r="D363" s="15" t="s">
        <v>113</v>
      </c>
      <c r="E363" s="16" t="e">
        <f t="array" ref="E363">INDEX(MedicaidIncomeEligibility[],MATCH(1,(MedicaidIncomeEligibility[State]=E360)*(MedicaidIncomeEligibility[Year]=E361),0),MATCH(E362,VALUE(MedicaidIncomeEligibility[#Headers]),0))</f>
        <v>#N/A</v>
      </c>
    </row>
    <row r="365" spans="2:6">
      <c r="B365" s="2" t="s">
        <v>114</v>
      </c>
    </row>
    <row r="366" spans="2:6">
      <c r="C366" t="s">
        <v>115</v>
      </c>
    </row>
    <row r="367" spans="2:6">
      <c r="C367" t="s">
        <v>116</v>
      </c>
    </row>
    <row r="368" spans="2:6">
      <c r="C368" t="s">
        <v>117</v>
      </c>
    </row>
    <row r="369" spans="2:29">
      <c r="C369" t="s">
        <v>118</v>
      </c>
    </row>
    <row r="370" spans="2:29">
      <c r="C370" t="s">
        <v>119</v>
      </c>
    </row>
    <row r="373" spans="2:29">
      <c r="B373" s="2" t="s">
        <v>120</v>
      </c>
    </row>
    <row r="374" spans="2:29">
      <c r="B374" s="2"/>
      <c r="C374" t="s">
        <v>121</v>
      </c>
    </row>
    <row r="375" spans="2:29">
      <c r="C375" t="s">
        <v>122</v>
      </c>
      <c r="D375" s="7" t="s">
        <v>123</v>
      </c>
      <c r="E375" s="7" t="s">
        <v>124</v>
      </c>
      <c r="F375" s="7" t="s">
        <v>125</v>
      </c>
      <c r="G375" s="7" t="s">
        <v>126</v>
      </c>
      <c r="H375" s="7" t="s">
        <v>127</v>
      </c>
      <c r="I375" s="7" t="s">
        <v>128</v>
      </c>
      <c r="J375" s="7" t="s">
        <v>129</v>
      </c>
      <c r="K375" s="7" t="s">
        <v>130</v>
      </c>
      <c r="L375" s="7" t="s">
        <v>131</v>
      </c>
      <c r="M375" s="7" t="s">
        <v>132</v>
      </c>
      <c r="N375" s="7" t="s">
        <v>133</v>
      </c>
      <c r="O375" s="7" t="s">
        <v>134</v>
      </c>
      <c r="P375" s="7" t="s">
        <v>135</v>
      </c>
      <c r="Q375" s="7" t="s">
        <v>136</v>
      </c>
      <c r="R375" s="7" t="s">
        <v>137</v>
      </c>
      <c r="S375" s="7" t="s">
        <v>138</v>
      </c>
      <c r="T375" s="7" t="s">
        <v>13</v>
      </c>
      <c r="U375" s="7" t="s">
        <v>14</v>
      </c>
      <c r="V375" s="7" t="s">
        <v>15</v>
      </c>
      <c r="W375" s="7" t="s">
        <v>16</v>
      </c>
      <c r="X375" s="7" t="s">
        <v>17</v>
      </c>
      <c r="Y375" s="7" t="s">
        <v>139</v>
      </c>
      <c r="Z375" s="7" t="s">
        <v>140</v>
      </c>
      <c r="AA375" s="7" t="s">
        <v>141</v>
      </c>
      <c r="AB375" s="7" t="s">
        <v>142</v>
      </c>
      <c r="AC375" s="7" t="s">
        <v>143</v>
      </c>
    </row>
    <row r="376" spans="2:29">
      <c r="C376" t="s">
        <v>144</v>
      </c>
      <c r="D376" t="s">
        <v>145</v>
      </c>
      <c r="E376" t="s">
        <v>146</v>
      </c>
      <c r="F376" t="s">
        <v>146</v>
      </c>
      <c r="G376" t="s">
        <v>146</v>
      </c>
      <c r="H376" t="s">
        <v>146</v>
      </c>
      <c r="I376" t="s">
        <v>146</v>
      </c>
      <c r="J376" t="s">
        <v>146</v>
      </c>
      <c r="K376" t="s">
        <v>146</v>
      </c>
      <c r="L376" t="s">
        <v>146</v>
      </c>
      <c r="M376" t="s">
        <v>216</v>
      </c>
      <c r="N376" t="s">
        <v>146</v>
      </c>
      <c r="O376" t="s">
        <v>146</v>
      </c>
      <c r="P376" t="s">
        <v>146</v>
      </c>
      <c r="Q376" t="s">
        <v>146</v>
      </c>
      <c r="R376" t="s">
        <v>146</v>
      </c>
      <c r="S376" t="s">
        <v>146</v>
      </c>
      <c r="T376" t="s">
        <v>147</v>
      </c>
      <c r="U376" t="s">
        <v>147</v>
      </c>
      <c r="V376" t="s">
        <v>147</v>
      </c>
      <c r="W376" t="s">
        <v>147</v>
      </c>
      <c r="X376" t="s">
        <v>147</v>
      </c>
      <c r="Y376" t="s">
        <v>147</v>
      </c>
      <c r="Z376" t="s">
        <v>147</v>
      </c>
      <c r="AA376" t="s">
        <v>147</v>
      </c>
      <c r="AB376" t="s">
        <v>147</v>
      </c>
      <c r="AC376" t="s">
        <v>147</v>
      </c>
    </row>
    <row r="377" spans="2:29">
      <c r="C377" s="17" t="s">
        <v>148</v>
      </c>
      <c r="D377" s="18">
        <v>15235</v>
      </c>
      <c r="E377" s="18">
        <v>15220</v>
      </c>
      <c r="F377" s="18">
        <v>14708</v>
      </c>
      <c r="G377" s="18">
        <v>14365</v>
      </c>
      <c r="H377" s="18">
        <v>14700</v>
      </c>
      <c r="I377" s="18">
        <v>14769</v>
      </c>
      <c r="J377" s="18">
        <v>15595</v>
      </c>
      <c r="K377" s="18">
        <v>15991</v>
      </c>
      <c r="L377" s="18">
        <v>16623</v>
      </c>
      <c r="M377" s="18">
        <v>24370</v>
      </c>
      <c r="N377" s="18">
        <v>25336</v>
      </c>
      <c r="O377" s="18">
        <v>25334</v>
      </c>
      <c r="P377" s="18">
        <v>26073</v>
      </c>
      <c r="Q377" s="18">
        <f>MedicaidNationalPMPMs[[#This Row],[FY 2024]]*'BLS Data'!$AJ$25</f>
        <v>28036.370893794967</v>
      </c>
      <c r="R377" s="18">
        <f>MedicaidNationalPMPMs[[#This Row],[FY 2025]]*'BLS Data'!$AJ$25</f>
        <v>30147.589187835449</v>
      </c>
      <c r="S377" s="18">
        <f>MedicaidNationalPMPMs[[#This Row],[FY 2026]]*'BLS Data'!$AJ$25</f>
        <v>32417.788210943032</v>
      </c>
      <c r="T377" s="19">
        <f t="shared" ref="T377:V382" si="0">(J377*0.75+K377*0.25)/12</f>
        <v>1307.8333333333333</v>
      </c>
      <c r="U377" s="19">
        <f t="shared" si="0"/>
        <v>1345.75</v>
      </c>
      <c r="V377" s="19">
        <f t="shared" si="0"/>
        <v>1546.6458333333333</v>
      </c>
      <c r="W377" s="19">
        <f t="shared" ref="W377" si="1">(M377*0.75+N377*0.25)/12</f>
        <v>2050.9583333333335</v>
      </c>
      <c r="X377" s="19">
        <f t="shared" ref="X377:X382" si="2">(N377*0.75+O377*0.25)/12</f>
        <v>2111.2916666666665</v>
      </c>
      <c r="Y377" s="19">
        <f t="shared" ref="Y377:Y382" si="3">(O377*0.75+P377*0.25)/12</f>
        <v>2126.5625</v>
      </c>
      <c r="Z377" s="19">
        <f t="shared" ref="Z377:Z382" si="4">(P377*0.75+Q377*0.25)/12</f>
        <v>2213.6535602873951</v>
      </c>
      <c r="AA377" s="19">
        <f t="shared" ref="AA377:AA382" si="5">(Q377*0.75+R377*0.25)/12</f>
        <v>2380.3479556087573</v>
      </c>
      <c r="AB377" s="19">
        <f t="shared" ref="AB377:AB382" si="6">(R377*0.75+S377*0.25)/12</f>
        <v>2559.5949119676957</v>
      </c>
      <c r="AC377" s="19">
        <f t="shared" ref="AC377:AC382" si="7">(S377*0.75+T377*0.25)/12</f>
        <v>2053.3582909617171</v>
      </c>
    </row>
    <row r="378" spans="2:29">
      <c r="C378" s="17" t="s">
        <v>149</v>
      </c>
      <c r="D378" s="18">
        <v>17824</v>
      </c>
      <c r="E378" s="18">
        <v>18614</v>
      </c>
      <c r="F378" s="18">
        <v>18499</v>
      </c>
      <c r="G378" s="18">
        <v>19152</v>
      </c>
      <c r="H378" s="18">
        <v>19754</v>
      </c>
      <c r="I378" s="18">
        <v>20048</v>
      </c>
      <c r="J378" s="18">
        <v>21209</v>
      </c>
      <c r="K378" s="18">
        <v>21853</v>
      </c>
      <c r="L378" s="18">
        <v>22878</v>
      </c>
      <c r="M378" s="18">
        <v>26898</v>
      </c>
      <c r="N378" s="18">
        <v>27964</v>
      </c>
      <c r="O378" s="18">
        <v>27962</v>
      </c>
      <c r="P378" s="18">
        <v>28777</v>
      </c>
      <c r="Q378" s="18">
        <f>MedicaidNationalPMPMs[[#This Row],[FY 2024]]*'BLS Data'!$AJ$25</f>
        <v>30943.989767603951</v>
      </c>
      <c r="R378" s="18">
        <f>MedicaidNationalPMPMs[[#This Row],[FY 2025]]*'BLS Data'!$AJ$25</f>
        <v>33274.160014510824</v>
      </c>
      <c r="S378" s="18">
        <f>MedicaidNationalPMPMs[[#This Row],[FY 2026]]*'BLS Data'!$AJ$25</f>
        <v>35779.798693909703</v>
      </c>
      <c r="T378" s="19">
        <f t="shared" si="0"/>
        <v>1780.8333333333333</v>
      </c>
      <c r="U378" s="19">
        <f t="shared" si="0"/>
        <v>1842.4375</v>
      </c>
      <c r="V378" s="19">
        <f t="shared" si="0"/>
        <v>1990.25</v>
      </c>
      <c r="W378" s="19">
        <f t="shared" ref="W378:W382" si="8">(M378*0.75+N378*0.25)/12</f>
        <v>2263.7083333333335</v>
      </c>
      <c r="X378" s="19">
        <f t="shared" si="2"/>
        <v>2330.2916666666665</v>
      </c>
      <c r="Y378" s="19">
        <f t="shared" si="3"/>
        <v>2347.1458333333335</v>
      </c>
      <c r="Z378" s="19">
        <f t="shared" si="4"/>
        <v>2443.2289534917491</v>
      </c>
      <c r="AA378" s="19">
        <f t="shared" si="5"/>
        <v>2627.2110274442225</v>
      </c>
      <c r="AB378" s="19">
        <f t="shared" si="6"/>
        <v>2825.0474736967117</v>
      </c>
      <c r="AC378" s="19">
        <f t="shared" si="7"/>
        <v>2273.3381128138008</v>
      </c>
    </row>
    <row r="379" spans="2:29">
      <c r="C379" s="17" t="s">
        <v>150</v>
      </c>
      <c r="D379" s="18">
        <v>2762</v>
      </c>
      <c r="E379" s="18">
        <v>2924</v>
      </c>
      <c r="F379" s="18">
        <v>3109</v>
      </c>
      <c r="G379" s="18">
        <v>3339</v>
      </c>
      <c r="H379" s="18">
        <v>3555</v>
      </c>
      <c r="I379" s="18">
        <v>3592</v>
      </c>
      <c r="J379" s="18">
        <v>3822</v>
      </c>
      <c r="K379" s="18">
        <v>3952</v>
      </c>
      <c r="L379" s="18">
        <v>4139</v>
      </c>
      <c r="M379" s="18">
        <v>3609</v>
      </c>
      <c r="N379" s="18">
        <v>3752</v>
      </c>
      <c r="O379" s="18">
        <v>3752</v>
      </c>
      <c r="P379" s="18">
        <v>3861</v>
      </c>
      <c r="Q379" s="18">
        <f>MedicaidNationalPMPMs[[#This Row],[FY 2024]]*'BLS Data'!$AJ$25</f>
        <v>4151.7442573137869</v>
      </c>
      <c r="R379" s="18">
        <f>MedicaidNationalPMPMs[[#This Row],[FY 2025]]*'BLS Data'!$AJ$25</f>
        <v>4464.3823823201265</v>
      </c>
      <c r="S379" s="18">
        <f>MedicaidNationalPMPMs[[#This Row],[FY 2026]]*'BLS Data'!$AJ$25</f>
        <v>4800.5630453899066</v>
      </c>
      <c r="T379" s="19">
        <f t="shared" si="0"/>
        <v>321.20833333333331</v>
      </c>
      <c r="U379" s="19">
        <f t="shared" si="0"/>
        <v>333.22916666666669</v>
      </c>
      <c r="V379" s="19">
        <f t="shared" si="0"/>
        <v>333.875</v>
      </c>
      <c r="W379" s="19">
        <f t="shared" si="8"/>
        <v>303.72916666666669</v>
      </c>
      <c r="X379" s="19">
        <f t="shared" si="2"/>
        <v>312.66666666666669</v>
      </c>
      <c r="Y379" s="19">
        <f t="shared" si="3"/>
        <v>314.9375</v>
      </c>
      <c r="Z379" s="19">
        <f t="shared" si="4"/>
        <v>327.80717202737054</v>
      </c>
      <c r="AA379" s="19">
        <f t="shared" si="5"/>
        <v>352.49198238044761</v>
      </c>
      <c r="AB379" s="19">
        <f t="shared" si="6"/>
        <v>379.03562900729759</v>
      </c>
      <c r="AC379" s="19">
        <f t="shared" si="7"/>
        <v>306.72703061464694</v>
      </c>
    </row>
    <row r="380" spans="2:29">
      <c r="C380" s="17" t="s">
        <v>151</v>
      </c>
      <c r="D380" s="18">
        <v>4192</v>
      </c>
      <c r="E380" s="18">
        <v>4385</v>
      </c>
      <c r="F380" s="18">
        <v>4799</v>
      </c>
      <c r="G380" s="18">
        <v>5103</v>
      </c>
      <c r="H380" s="18">
        <v>5159</v>
      </c>
      <c r="I380" s="18">
        <v>5288</v>
      </c>
      <c r="J380" s="18">
        <v>5645</v>
      </c>
      <c r="K380" s="18">
        <v>5855</v>
      </c>
      <c r="L380" s="18">
        <v>6152</v>
      </c>
      <c r="M380" s="18">
        <v>6421</v>
      </c>
      <c r="N380" s="18">
        <v>6675</v>
      </c>
      <c r="O380" s="18">
        <v>6674</v>
      </c>
      <c r="P380" s="18">
        <v>6869</v>
      </c>
      <c r="Q380" s="18">
        <f>MedicaidNationalPMPMs[[#This Row],[FY 2024]]*'BLS Data'!$AJ$25</f>
        <v>7386.2551938586903</v>
      </c>
      <c r="R380" s="18">
        <f>MedicaidNationalPMPMs[[#This Row],[FY 2025]]*'BLS Data'!$AJ$25</f>
        <v>7942.4611717578218</v>
      </c>
      <c r="S380" s="18">
        <f>MedicaidNationalPMPMs[[#This Row],[FY 2026]]*'BLS Data'!$AJ$25</f>
        <v>8540.5510382759057</v>
      </c>
      <c r="T380" s="19">
        <f t="shared" si="0"/>
        <v>474.79166666666669</v>
      </c>
      <c r="U380" s="19">
        <f t="shared" si="0"/>
        <v>494.10416666666669</v>
      </c>
      <c r="V380" s="19">
        <f t="shared" si="0"/>
        <v>518.27083333333337</v>
      </c>
      <c r="W380" s="19">
        <f t="shared" si="8"/>
        <v>540.375</v>
      </c>
      <c r="X380" s="19">
        <f t="shared" si="2"/>
        <v>556.22916666666663</v>
      </c>
      <c r="Y380" s="19">
        <f t="shared" si="3"/>
        <v>560.22916666666663</v>
      </c>
      <c r="Z380" s="19">
        <f t="shared" si="4"/>
        <v>583.1928165387227</v>
      </c>
      <c r="AA380" s="19">
        <f t="shared" si="5"/>
        <v>627.10889069445614</v>
      </c>
      <c r="AB380" s="19">
        <f t="shared" si="6"/>
        <v>674.33196986561188</v>
      </c>
      <c r="AC380" s="19">
        <f t="shared" si="7"/>
        <v>543.67593294779965</v>
      </c>
    </row>
    <row r="381" spans="2:29">
      <c r="C381" s="20" t="s">
        <v>152</v>
      </c>
      <c r="D381" s="21" t="s">
        <v>153</v>
      </c>
      <c r="E381" s="21" t="s">
        <v>153</v>
      </c>
      <c r="F381" s="22">
        <v>5511</v>
      </c>
      <c r="G381" s="23">
        <v>6365</v>
      </c>
      <c r="H381" s="24">
        <v>5965</v>
      </c>
      <c r="I381" s="23">
        <v>5813</v>
      </c>
      <c r="J381" s="23">
        <v>6036</v>
      </c>
      <c r="K381" s="23">
        <v>6355</v>
      </c>
      <c r="L381" s="23">
        <v>6682</v>
      </c>
      <c r="M381" s="23">
        <v>7546</v>
      </c>
      <c r="N381" s="18">
        <v>7845</v>
      </c>
      <c r="O381" s="18">
        <v>7845</v>
      </c>
      <c r="P381" s="18">
        <v>8073</v>
      </c>
      <c r="Q381" s="18">
        <f>MedicaidNationalPMPMs[[#This Row],[FY 2024]]*'BLS Data'!$AJ$25</f>
        <v>8680.9198107470093</v>
      </c>
      <c r="R381" s="18">
        <f>MedicaidNationalPMPMs[[#This Row],[FY 2025]]*'BLS Data'!$AJ$25</f>
        <v>9334.617708487538</v>
      </c>
      <c r="S381" s="18">
        <f>MedicaidNationalPMPMs[[#This Row],[FY 2026]]*'BLS Data'!$AJ$25</f>
        <v>10037.540913087987</v>
      </c>
      <c r="T381" s="19">
        <f t="shared" si="0"/>
        <v>509.64583333333331</v>
      </c>
      <c r="U381" s="19">
        <f t="shared" si="0"/>
        <v>536.39583333333337</v>
      </c>
      <c r="V381" s="19">
        <f t="shared" si="0"/>
        <v>574.83333333333337</v>
      </c>
      <c r="W381" s="19">
        <f t="shared" si="8"/>
        <v>635.0625</v>
      </c>
      <c r="X381" s="19">
        <f t="shared" si="2"/>
        <v>653.75</v>
      </c>
      <c r="Y381" s="19">
        <f t="shared" si="3"/>
        <v>658.5</v>
      </c>
      <c r="Z381" s="19">
        <f t="shared" si="4"/>
        <v>685.41499605722936</v>
      </c>
      <c r="AA381" s="19">
        <f t="shared" si="5"/>
        <v>737.02869043184512</v>
      </c>
      <c r="AB381" s="19">
        <f t="shared" si="6"/>
        <v>792.52904246980415</v>
      </c>
      <c r="AC381" s="19">
        <f t="shared" si="7"/>
        <v>637.96392859577702</v>
      </c>
    </row>
    <row r="382" spans="2:29" ht="15.65" customHeight="1">
      <c r="C382" s="25" t="s">
        <v>154</v>
      </c>
      <c r="D382" s="26">
        <v>6874</v>
      </c>
      <c r="E382" s="26">
        <v>7188</v>
      </c>
      <c r="F382" s="26">
        <v>7202</v>
      </c>
      <c r="G382" s="26">
        <v>7451</v>
      </c>
      <c r="H382" s="26">
        <v>7590</v>
      </c>
      <c r="I382" s="26">
        <v>7648</v>
      </c>
      <c r="J382" s="26">
        <v>8093</v>
      </c>
      <c r="K382" s="26">
        <v>8371</v>
      </c>
      <c r="L382" s="26">
        <v>8770</v>
      </c>
      <c r="M382" s="26">
        <v>9222</v>
      </c>
      <c r="N382" s="26">
        <v>9587</v>
      </c>
      <c r="O382" s="26">
        <v>9586</v>
      </c>
      <c r="P382" s="26">
        <v>9866</v>
      </c>
      <c r="Q382" s="18">
        <f>MedicaidNationalPMPMs[[#This Row],[FY 2024]]*'BLS Data'!$AJ$25</f>
        <v>10608.937799186175</v>
      </c>
      <c r="R382" s="18">
        <f>MedicaidNationalPMPMs[[#This Row],[FY 2025]]*'BLS Data'!$AJ$25</f>
        <v>11407.820923069248</v>
      </c>
      <c r="S382" s="18">
        <f>MedicaidNationalPMPMs[[#This Row],[FY 2026]]*'BLS Data'!$AJ$25</f>
        <v>12266.86221336877</v>
      </c>
      <c r="T382" s="19">
        <f t="shared" si="0"/>
        <v>680.20833333333337</v>
      </c>
      <c r="U382" s="19">
        <f t="shared" si="0"/>
        <v>705.89583333333337</v>
      </c>
      <c r="V382" s="19">
        <f t="shared" si="0"/>
        <v>740.25</v>
      </c>
      <c r="W382" s="19">
        <f t="shared" si="8"/>
        <v>776.10416666666663</v>
      </c>
      <c r="X382" s="19">
        <f t="shared" si="2"/>
        <v>798.89583333333337</v>
      </c>
      <c r="Y382" s="19">
        <f t="shared" si="3"/>
        <v>804.66666666666663</v>
      </c>
      <c r="Z382" s="19">
        <f t="shared" si="4"/>
        <v>837.64453748304538</v>
      </c>
      <c r="AA382" s="19">
        <f t="shared" si="5"/>
        <v>900.72154834641185</v>
      </c>
      <c r="AB382" s="19">
        <f t="shared" si="6"/>
        <v>968.54843713701075</v>
      </c>
      <c r="AC382" s="19">
        <f t="shared" si="7"/>
        <v>780.84989527999267</v>
      </c>
    </row>
    <row r="384" spans="2:29">
      <c r="B384" s="2" t="s">
        <v>155</v>
      </c>
    </row>
    <row r="385" spans="2:5">
      <c r="C385" t="s">
        <v>156</v>
      </c>
    </row>
    <row r="386" spans="2:5">
      <c r="C386" t="s">
        <v>157</v>
      </c>
    </row>
    <row r="387" spans="2:5">
      <c r="C387" t="s">
        <v>158</v>
      </c>
    </row>
    <row r="388" spans="2:5">
      <c r="B388" s="2" t="s">
        <v>105</v>
      </c>
      <c r="C388" s="14"/>
    </row>
    <row r="389" spans="2:5">
      <c r="C389" s="14" t="s">
        <v>106</v>
      </c>
      <c r="D389" t="s">
        <v>159</v>
      </c>
    </row>
    <row r="390" spans="2:5">
      <c r="C390" s="14" t="s">
        <v>108</v>
      </c>
      <c r="D390" s="14" t="s">
        <v>160</v>
      </c>
      <c r="E390" t="s">
        <v>150</v>
      </c>
    </row>
    <row r="391" spans="2:5">
      <c r="D391" s="14" t="s">
        <v>112</v>
      </c>
      <c r="E391">
        <v>2019</v>
      </c>
    </row>
    <row r="392" spans="2:5">
      <c r="D392" s="15" t="s">
        <v>113</v>
      </c>
      <c r="E392" s="27">
        <f t="array" ref="E392">INDEX(MedicaidNationalPMPMs[],MATCH(E390,MedicaidNationalPMPMs[Group],0),MATCH(E391,VALUE(MedicaidNationalPMPMs[#Headers]),0))</f>
        <v>333.22916666666669</v>
      </c>
    </row>
    <row r="394" spans="2:5">
      <c r="B394" s="2" t="s">
        <v>114</v>
      </c>
    </row>
    <row r="395" spans="2:5">
      <c r="C395" t="s">
        <v>161</v>
      </c>
    </row>
    <row r="396" spans="2:5">
      <c r="C396" t="s">
        <v>162</v>
      </c>
    </row>
    <row r="397" spans="2:5">
      <c r="C397" t="s">
        <v>163</v>
      </c>
    </row>
    <row r="398" spans="2:5">
      <c r="C398" t="s">
        <v>164</v>
      </c>
    </row>
    <row r="399" spans="2:5">
      <c r="C399" s="28" t="s">
        <v>165</v>
      </c>
    </row>
    <row r="400" spans="2:5">
      <c r="C400" s="28" t="s">
        <v>166</v>
      </c>
    </row>
    <row r="401" spans="2:17">
      <c r="C401" s="28"/>
    </row>
    <row r="402" spans="2:17">
      <c r="B402" s="2" t="s">
        <v>167</v>
      </c>
      <c r="F402" s="7"/>
      <c r="G402" s="7"/>
      <c r="H402" s="7"/>
      <c r="I402" t="s">
        <v>168</v>
      </c>
      <c r="J402" t="s">
        <v>169</v>
      </c>
    </row>
    <row r="403" spans="2:17">
      <c r="C403" t="s">
        <v>11</v>
      </c>
      <c r="D403" t="s">
        <v>122</v>
      </c>
      <c r="E403" t="s">
        <v>12</v>
      </c>
      <c r="F403" s="7" t="s">
        <v>13</v>
      </c>
      <c r="G403" s="7" t="s">
        <v>14</v>
      </c>
      <c r="H403" s="7" t="s">
        <v>15</v>
      </c>
      <c r="I403" s="7" t="s">
        <v>16</v>
      </c>
      <c r="J403" s="7" t="s">
        <v>17</v>
      </c>
      <c r="K403" s="7" t="s">
        <v>139</v>
      </c>
      <c r="L403" s="7" t="s">
        <v>140</v>
      </c>
      <c r="O403" s="29"/>
      <c r="P403" s="29"/>
      <c r="Q403" s="29"/>
    </row>
    <row r="404" spans="2:17">
      <c r="C404" t="s">
        <v>19</v>
      </c>
      <c r="D404" t="s">
        <v>170</v>
      </c>
      <c r="E404" t="s">
        <v>171</v>
      </c>
      <c r="G404" s="19" cm="1">
        <f t="array" ref="G404">INDEX(PMPM[Adults],MATCH(1,(PMPM[State]=MedicaidStatePMPMs[[#This Row],[State]])*(PMPM[Year]=2019),0))</f>
        <v>444.05</v>
      </c>
      <c r="H404" s="19" cm="1">
        <f t="array" ref="H404">INDEX(PMPM[Adults],MATCH(1,(PMPM[State]=MedicaidStatePMPMs[[#This Row],[State]])*(PMPM[Year]=2020),0))</f>
        <v>425.74</v>
      </c>
      <c r="I404" s="19" cm="1">
        <f t="array" ref="I404">INDEX(PMPM[Adults],MATCH(1,(PMPM[State]=MedicaidStatePMPMs[[#This Row],[State]])*(PMPM[Year]=2021),0))</f>
        <v>421.5</v>
      </c>
      <c r="J404" s="19" cm="1">
        <f t="array" ref="J404">INDEX(PMPM[Adults],MATCH(1,(PMPM[State]=MedicaidStatePMPMs[[#This Row],[State]])*(PMPM[Year]=2022),0))</f>
        <v>438.17</v>
      </c>
      <c r="K404" s="19" cm="1">
        <f t="array" ref="K404">INDEX(PMPM[Adults],MATCH(1,(PMPM[State]=MedicaidStatePMPMs[[#This Row],[State]])*(PMPM[Year]=2023),0))</f>
        <v>438.17</v>
      </c>
      <c r="L404" s="19" cm="1">
        <f t="array" ref="L404">INDEX(PMPM[Adults],MATCH(1,(PMPM[State]=MedicaidStatePMPMs[[#This Row],[State]])*(PMPM[Year]=2024),0))</f>
        <v>450.92</v>
      </c>
      <c r="O404" s="29"/>
      <c r="P404" s="29"/>
      <c r="Q404" s="29"/>
    </row>
    <row r="405" spans="2:17">
      <c r="C405" t="s">
        <v>19</v>
      </c>
      <c r="D405" t="s">
        <v>170</v>
      </c>
      <c r="E405" t="s">
        <v>149</v>
      </c>
      <c r="G405" s="19" cm="1">
        <f t="array" ref="G405">INDEX(PMPM[ Disabled],MATCH(1,(PMPM[State]=MedicaidStatePMPMs[[#This Row],[State]])*(PMPM[Year]=2019),0))</f>
        <v>1540.14</v>
      </c>
      <c r="H405" s="19" cm="1">
        <f t="array" ref="H405">INDEX(PMPM[ Disabled],MATCH(1,(PMPM[State]=MedicaidStatePMPMs[[#This Row],[State]])*(PMPM[Year]=2020),0))</f>
        <v>1476.63</v>
      </c>
      <c r="I405" s="19" cm="1">
        <f t="array" ref="I405">INDEX(PMPM[ Disabled],MATCH(1,(PMPM[State]=MedicaidStatePMPMs[[#This Row],[State]])*(PMPM[Year]=2021),0))</f>
        <v>1461.92</v>
      </c>
      <c r="J405" s="19" cm="1">
        <f t="array" ref="J405">INDEX(PMPM[ Disabled],MATCH(1,(PMPM[State]=MedicaidStatePMPMs[[#This Row],[State]])*(PMPM[Year]=2022),0))</f>
        <v>1519.83</v>
      </c>
      <c r="K405" s="19" cm="1">
        <f t="array" ref="K405">INDEX(PMPM[ Disabled],MATCH(1,(PMPM[State]=MedicaidStatePMPMs[[#This Row],[State]])*(PMPM[Year]=2023),0))</f>
        <v>1519.75</v>
      </c>
      <c r="L405" s="19" cm="1">
        <f t="array" ref="L405">INDEX(PMPM[ Disabled],MATCH(1,(PMPM[State]=MedicaidStatePMPMs[[#This Row],[State]])*(PMPM[Year]=2024),0))</f>
        <v>1564</v>
      </c>
      <c r="O405" s="29"/>
      <c r="P405" s="29"/>
      <c r="Q405" s="29"/>
    </row>
    <row r="406" spans="2:17">
      <c r="C406" t="s">
        <v>19</v>
      </c>
      <c r="D406" t="s">
        <v>170</v>
      </c>
      <c r="E406" t="s">
        <v>25</v>
      </c>
      <c r="G406" s="49" t="str" cm="1">
        <f t="array" ref="G406">INDEX(PMPM[Expansion Adults],MATCH(1,(PMPM[State]=MedicaidStatePMPMs[[#This Row],[State]])*(PMPM[Year]=2019),0))</f>
        <v>N/A</v>
      </c>
      <c r="H406" s="49" t="str" cm="1">
        <f t="array" ref="H406">INDEX(PMPM[Expansion Adults],MATCH(1,(PMPM[State]=MedicaidStatePMPMs[[#This Row],[State]])*(PMPM[Year]=2020),0))</f>
        <v>N/A</v>
      </c>
      <c r="I406" s="49" t="str" cm="1">
        <f t="array" ref="I406">INDEX(PMPM[Expansion Adults],MATCH(1,(PMPM[State]=MedicaidStatePMPMs[[#This Row],[State]])*(PMPM[Year]=2021),0))</f>
        <v>N/A</v>
      </c>
      <c r="J406" s="49" t="str" cm="1">
        <f t="array" ref="J406">INDEX(PMPM[Expansion Adults],MATCH(1,(PMPM[State]=MedicaidStatePMPMs[[#This Row],[State]])*(PMPM[Year]=2022),0))</f>
        <v>N/A</v>
      </c>
      <c r="K406" s="49" t="str" cm="1">
        <f t="array" ref="K406">INDEX(PMPM[Expansion Adults],MATCH(1,(PMPM[State]=MedicaidStatePMPMs[[#This Row],[State]])*(PMPM[Year]=2023),0))</f>
        <v>N/A</v>
      </c>
      <c r="L406" s="49" t="str" cm="1">
        <f t="array" ref="L406">INDEX(PMPM[Expansion Adults],MATCH(1,(PMPM[State]=MedicaidStatePMPMs[[#This Row],[State]])*(PMPM[Year]=2024),0))</f>
        <v>N/A</v>
      </c>
      <c r="O406" s="29"/>
      <c r="P406" s="29"/>
      <c r="Q406" s="29"/>
    </row>
    <row r="407" spans="2:17">
      <c r="C407" t="s">
        <v>19</v>
      </c>
      <c r="D407" t="s">
        <v>172</v>
      </c>
      <c r="E407" t="s">
        <v>171</v>
      </c>
      <c r="G407" s="19" cm="1">
        <f t="array" ref="G407">INDEX(PMPM[Child],MATCH(1,(PMPM[State]=MedicaidStatePMPMs[[#This Row],[State]])*(PMPM[Year]=2019),0))</f>
        <v>233.01</v>
      </c>
      <c r="H407" s="19" cm="1">
        <f t="array" ref="H407">INDEX(PMPM[Child],MATCH(1,(PMPM[State]=MedicaidStatePMPMs[[#This Row],[State]])*(PMPM[Year]=2020),0))</f>
        <v>223.4</v>
      </c>
      <c r="I407" s="19" cm="1">
        <f t="array" ref="I407">INDEX(PMPM[Child],MATCH(1,(PMPM[State]=MedicaidStatePMPMs[[#This Row],[State]])*(PMPM[Year]=2021),0))</f>
        <v>221.17</v>
      </c>
      <c r="J407" s="19" cm="1">
        <f t="array" ref="J407">INDEX(PMPM[Child],MATCH(1,(PMPM[State]=MedicaidStatePMPMs[[#This Row],[State]])*(PMPM[Year]=2022),0))</f>
        <v>230</v>
      </c>
      <c r="K407" s="19" cm="1">
        <f t="array" ref="K407">INDEX(PMPM[Child],MATCH(1,(PMPM[State]=MedicaidStatePMPMs[[#This Row],[State]])*(PMPM[Year]=2023),0))</f>
        <v>229.92</v>
      </c>
      <c r="L407" s="19" cm="1">
        <f t="array" ref="L407">INDEX(PMPM[Child],MATCH(1,(PMPM[State]=MedicaidStatePMPMs[[#This Row],[State]])*(PMPM[Year]=2024),0))</f>
        <v>236.67</v>
      </c>
      <c r="O407" s="29"/>
      <c r="P407" s="29"/>
      <c r="Q407" s="29"/>
    </row>
    <row r="408" spans="2:17">
      <c r="C408" t="s">
        <v>19</v>
      </c>
      <c r="D408" t="s">
        <v>172</v>
      </c>
      <c r="E408" t="s">
        <v>149</v>
      </c>
      <c r="G408" s="19" cm="1">
        <f t="array" ref="G408">INDEX(PMPM[ Disabled],MATCH(1,(PMPM[State]=MedicaidStatePMPMs[[#This Row],[State]])*(PMPM[Year]=2019),0))</f>
        <v>1540.14</v>
      </c>
      <c r="H408" s="19" cm="1">
        <f t="array" ref="H408">INDEX(PMPM[ Disabled],MATCH(1,(PMPM[State]=MedicaidStatePMPMs[[#This Row],[State]])*(PMPM[Year]=2020),0))</f>
        <v>1476.63</v>
      </c>
      <c r="I408" s="19" cm="1">
        <f t="array" ref="I408">INDEX(PMPM[ Disabled],MATCH(1,(PMPM[State]=MedicaidStatePMPMs[[#This Row],[State]])*(PMPM[Year]=2021),0))</f>
        <v>1461.92</v>
      </c>
      <c r="J408" s="19" cm="1">
        <f t="array" ref="J408">INDEX(PMPM[ Disabled],MATCH(1,(PMPM[State]=MedicaidStatePMPMs[[#This Row],[State]])*(PMPM[Year]=2022),0))</f>
        <v>1519.83</v>
      </c>
      <c r="K408" s="19" cm="1">
        <f t="array" ref="K408">INDEX(PMPM[ Disabled],MATCH(1,(PMPM[State]=MedicaidStatePMPMs[[#This Row],[State]])*(PMPM[Year]=2023),0))</f>
        <v>1519.75</v>
      </c>
      <c r="L408" s="19" cm="1">
        <f t="array" ref="L408">INDEX(PMPM[ Disabled],MATCH(1,(PMPM[State]=MedicaidStatePMPMs[[#This Row],[State]])*(PMPM[Year]=2024),0))</f>
        <v>1564</v>
      </c>
      <c r="O408" s="29"/>
      <c r="P408" s="29"/>
      <c r="Q408" s="29"/>
    </row>
    <row r="409" spans="2:17">
      <c r="C409" t="s">
        <v>28</v>
      </c>
      <c r="D409" t="s">
        <v>170</v>
      </c>
      <c r="E409" t="s">
        <v>171</v>
      </c>
      <c r="G409" s="19" cm="1">
        <f t="array" ref="G409">INDEX(PMPM[Adults],MATCH(1,(PMPM[State]=MedicaidStatePMPMs[[#This Row],[State]])*(PMPM[Year]=2019),0))</f>
        <v>525.61</v>
      </c>
      <c r="H409" s="19" cm="1">
        <f t="array" ref="H409">INDEX(PMPM[Adults],MATCH(1,(PMPM[State]=MedicaidStatePMPMs[[#This Row],[State]])*(PMPM[Year]=2020),0))</f>
        <v>503.94</v>
      </c>
      <c r="I409" s="19" cm="1">
        <f t="array" ref="I409">INDEX(PMPM[Adults],MATCH(1,(PMPM[State]=MedicaidStatePMPMs[[#This Row],[State]])*(PMPM[Year]=2021),0))</f>
        <v>498.92</v>
      </c>
      <c r="J409" s="19" cm="1">
        <f t="array" ref="J409">INDEX(PMPM[Adults],MATCH(1,(PMPM[State]=MedicaidStatePMPMs[[#This Row],[State]])*(PMPM[Year]=2022),0))</f>
        <v>518.75</v>
      </c>
      <c r="K409" s="19" cm="1">
        <f t="array" ref="K409">INDEX(PMPM[Adults],MATCH(1,(PMPM[State]=MedicaidStatePMPMs[[#This Row],[State]])*(PMPM[Year]=2023),0))</f>
        <v>518.66999999999996</v>
      </c>
      <c r="L409" s="19" cm="1">
        <f t="array" ref="L409">INDEX(PMPM[Adults],MATCH(1,(PMPM[State]=MedicaidStatePMPMs[[#This Row],[State]])*(PMPM[Year]=2024),0))</f>
        <v>533.83000000000004</v>
      </c>
      <c r="N409" t="s">
        <v>173</v>
      </c>
      <c r="O409" s="30">
        <v>870.25</v>
      </c>
      <c r="P409" s="29"/>
      <c r="Q409" s="29"/>
    </row>
    <row r="410" spans="2:17">
      <c r="C410" t="s">
        <v>28</v>
      </c>
      <c r="D410" t="s">
        <v>170</v>
      </c>
      <c r="E410" t="s">
        <v>149</v>
      </c>
      <c r="G410" s="19" cm="1">
        <f t="array" ref="G410">INDEX(PMPM[ Disabled],MATCH(1,(PMPM[State]=MedicaidStatePMPMs[[#This Row],[State]])*(PMPM[Year]=2019),0))</f>
        <v>1651.02</v>
      </c>
      <c r="H410" s="19" cm="1">
        <f t="array" ref="H410">INDEX(PMPM[ Disabled],MATCH(1,(PMPM[State]=MedicaidStatePMPMs[[#This Row],[State]])*(PMPM[Year]=2020),0))</f>
        <v>1582.94</v>
      </c>
      <c r="I410" s="19" cm="1">
        <f t="array" ref="I410">INDEX(PMPM[ Disabled],MATCH(1,(PMPM[State]=MedicaidStatePMPMs[[#This Row],[State]])*(PMPM[Year]=2021),0))</f>
        <v>1567.17</v>
      </c>
      <c r="J410" s="19" cm="1">
        <f t="array" ref="J410">INDEX(PMPM[ Disabled],MATCH(1,(PMPM[State]=MedicaidStatePMPMs[[#This Row],[State]])*(PMPM[Year]=2022),0))</f>
        <v>1629.25</v>
      </c>
      <c r="K410" s="19" cm="1">
        <f t="array" ref="K410">INDEX(PMPM[ Disabled],MATCH(1,(PMPM[State]=MedicaidStatePMPMs[[#This Row],[State]])*(PMPM[Year]=2023),0))</f>
        <v>1629.17</v>
      </c>
      <c r="L410" s="19" cm="1">
        <f t="array" ref="L410">INDEX(PMPM[ Disabled],MATCH(1,(PMPM[State]=MedicaidStatePMPMs[[#This Row],[State]])*(PMPM[Year]=2024),0))</f>
        <v>1676.67</v>
      </c>
      <c r="N410" t="s">
        <v>174</v>
      </c>
      <c r="O410" s="30">
        <v>1744.75</v>
      </c>
      <c r="P410" s="29">
        <f>O410/O409</f>
        <v>2.0048836541223785</v>
      </c>
      <c r="Q410" s="29"/>
    </row>
    <row r="411" spans="2:17">
      <c r="C411" t="s">
        <v>28</v>
      </c>
      <c r="D411" t="s">
        <v>170</v>
      </c>
      <c r="E411" t="s">
        <v>25</v>
      </c>
      <c r="G411" s="49" cm="1">
        <f t="array" ref="G411">INDEX(PMPM[Expansion Adults],MATCH(1,(PMPM[State]=MedicaidStatePMPMs[[#This Row],[State]])*(PMPM[Year]=2019),0))</f>
        <v>634.47</v>
      </c>
      <c r="H411" s="49" cm="1">
        <f t="array" ref="H411">INDEX(PMPM[Expansion Adults],MATCH(1,(PMPM[State]=MedicaidStatePMPMs[[#This Row],[State]])*(PMPM[Year]=2020),0))</f>
        <v>608.30999999999995</v>
      </c>
      <c r="I411" s="49" cm="1">
        <f t="array" ref="I411">INDEX(PMPM[Expansion Adults],MATCH(1,(PMPM[State]=MedicaidStatePMPMs[[#This Row],[State]])*(PMPM[Year]=2021),0))</f>
        <v>602.25</v>
      </c>
      <c r="J411" s="49" cm="1">
        <f t="array" ref="J411">INDEX(PMPM[Expansion Adults],MATCH(1,(PMPM[State]=MedicaidStatePMPMs[[#This Row],[State]])*(PMPM[Year]=2022),0))</f>
        <v>626.08000000000004</v>
      </c>
      <c r="K411" s="49" cm="1">
        <f t="array" ref="K411">INDEX(PMPM[Expansion Adults],MATCH(1,(PMPM[State]=MedicaidStatePMPMs[[#This Row],[State]])*(PMPM[Year]=2023),0))</f>
        <v>626</v>
      </c>
      <c r="L411" s="49" cm="1">
        <f t="array" ref="L411">INDEX(PMPM[Expansion Adults],MATCH(1,(PMPM[State]=MedicaidStatePMPMs[[#This Row],[State]])*(PMPM[Year]=2024),0))</f>
        <v>644.25</v>
      </c>
      <c r="O411" s="30"/>
      <c r="P411" s="29"/>
      <c r="Q411" s="29"/>
    </row>
    <row r="412" spans="2:17">
      <c r="C412" t="s">
        <v>28</v>
      </c>
      <c r="D412" t="s">
        <v>172</v>
      </c>
      <c r="E412" t="s">
        <v>171</v>
      </c>
      <c r="G412" s="19" cm="1">
        <f t="array" ref="G412">INDEX(PMPM[Child],MATCH(1,(PMPM[State]=MedicaidStatePMPMs[[#This Row],[State]])*(PMPM[Year]=2019),0))</f>
        <v>358.37</v>
      </c>
      <c r="H412" s="19" cm="1">
        <f t="array" ref="H412">INDEX(PMPM[Child],MATCH(1,(PMPM[State]=MedicaidStatePMPMs[[#This Row],[State]])*(PMPM[Year]=2020),0))</f>
        <v>343.59</v>
      </c>
      <c r="I412" s="19" cm="1">
        <f t="array" ref="I412">INDEX(PMPM[Child],MATCH(1,(PMPM[State]=MedicaidStatePMPMs[[#This Row],[State]])*(PMPM[Year]=2021),0))</f>
        <v>340.17</v>
      </c>
      <c r="J412" s="19" cm="1">
        <f t="array" ref="J412">INDEX(PMPM[Child],MATCH(1,(PMPM[State]=MedicaidStatePMPMs[[#This Row],[State]])*(PMPM[Year]=2022),0))</f>
        <v>353.58</v>
      </c>
      <c r="K412" s="19" cm="1">
        <f t="array" ref="K412">INDEX(PMPM[Child],MATCH(1,(PMPM[State]=MedicaidStatePMPMs[[#This Row],[State]])*(PMPM[Year]=2023),0))</f>
        <v>353.58</v>
      </c>
      <c r="L412" s="19" cm="1">
        <f t="array" ref="L412">INDEX(PMPM[Child],MATCH(1,(PMPM[State]=MedicaidStatePMPMs[[#This Row],[State]])*(PMPM[Year]=2024),0))</f>
        <v>363.92</v>
      </c>
      <c r="N412" t="s">
        <v>150</v>
      </c>
      <c r="O412" s="30">
        <v>401.83333333333331</v>
      </c>
      <c r="P412" s="29"/>
      <c r="Q412" s="29"/>
    </row>
    <row r="413" spans="2:17">
      <c r="C413" t="s">
        <v>28</v>
      </c>
      <c r="D413" t="s">
        <v>172</v>
      </c>
      <c r="E413" t="s">
        <v>149</v>
      </c>
      <c r="G413" s="19" cm="1">
        <f t="array" ref="G413">INDEX(PMPM[ Disabled],MATCH(1,(PMPM[State]=MedicaidStatePMPMs[[#This Row],[State]])*(PMPM[Year]=2019),0))</f>
        <v>1651.02</v>
      </c>
      <c r="H413" s="19" cm="1">
        <f t="array" ref="H413">INDEX(PMPM[ Disabled],MATCH(1,(PMPM[State]=MedicaidStatePMPMs[[#This Row],[State]])*(PMPM[Year]=2020),0))</f>
        <v>1582.94</v>
      </c>
      <c r="I413" s="19" cm="1">
        <f t="array" ref="I413">INDEX(PMPM[ Disabled],MATCH(1,(PMPM[State]=MedicaidStatePMPMs[[#This Row],[State]])*(PMPM[Year]=2021),0))</f>
        <v>1567.17</v>
      </c>
      <c r="J413" s="19" cm="1">
        <f t="array" ref="J413">INDEX(PMPM[ Disabled],MATCH(1,(PMPM[State]=MedicaidStatePMPMs[[#This Row],[State]])*(PMPM[Year]=2022),0))</f>
        <v>1629.25</v>
      </c>
      <c r="K413" s="19" cm="1">
        <f t="array" ref="K413">INDEX(PMPM[ Disabled],MATCH(1,(PMPM[State]=MedicaidStatePMPMs[[#This Row],[State]])*(PMPM[Year]=2023),0))</f>
        <v>1629.17</v>
      </c>
      <c r="L413" s="19" cm="1">
        <f t="array" ref="L413">INDEX(PMPM[ Disabled],MATCH(1,(PMPM[State]=MedicaidStatePMPMs[[#This Row],[State]])*(PMPM[Year]=2024),0))</f>
        <v>1676.67</v>
      </c>
      <c r="N413" t="s">
        <v>174</v>
      </c>
      <c r="O413" s="30">
        <v>1744.75</v>
      </c>
      <c r="P413" s="30">
        <f>O412*P410</f>
        <v>805.62908168150909</v>
      </c>
      <c r="Q413" s="29"/>
    </row>
    <row r="414" spans="2:17">
      <c r="C414" t="s">
        <v>30</v>
      </c>
      <c r="D414" t="s">
        <v>170</v>
      </c>
      <c r="E414" t="s">
        <v>171</v>
      </c>
      <c r="G414" s="19" cm="1">
        <f t="array" ref="G414">INDEX(PMPM[Adults],MATCH(1,(PMPM[State]=MedicaidStatePMPMs[[#This Row],[State]])*(PMPM[Year]=2019),0))</f>
        <v>336.51</v>
      </c>
      <c r="H414" s="19" cm="1">
        <f t="array" ref="H414">INDEX(PMPM[Adults],MATCH(1,(PMPM[State]=MedicaidStatePMPMs[[#This Row],[State]])*(PMPM[Year]=2020),0))</f>
        <v>322.63</v>
      </c>
      <c r="I414" s="19" cm="1">
        <f t="array" ref="I414">INDEX(PMPM[Adults],MATCH(1,(PMPM[State]=MedicaidStatePMPMs[[#This Row],[State]])*(PMPM[Year]=2021),0))</f>
        <v>319.42</v>
      </c>
      <c r="J414" s="19" cm="1">
        <f t="array" ref="J414">INDEX(PMPM[Adults],MATCH(1,(PMPM[State]=MedicaidStatePMPMs[[#This Row],[State]])*(PMPM[Year]=2022),0))</f>
        <v>332.08</v>
      </c>
      <c r="K414" s="19" cm="1">
        <f t="array" ref="K414">INDEX(PMPM[Adults],MATCH(1,(PMPM[State]=MedicaidStatePMPMs[[#This Row],[State]])*(PMPM[Year]=2023),0))</f>
        <v>332.08</v>
      </c>
      <c r="L414" s="19" cm="1">
        <f t="array" ref="L414">INDEX(PMPM[Adults],MATCH(1,(PMPM[State]=MedicaidStatePMPMs[[#This Row],[State]])*(PMPM[Year]=2024),0))</f>
        <v>341.75</v>
      </c>
      <c r="O414" s="29"/>
      <c r="P414" s="29"/>
      <c r="Q414" s="29"/>
    </row>
    <row r="415" spans="2:17">
      <c r="C415" t="s">
        <v>30</v>
      </c>
      <c r="D415" t="s">
        <v>170</v>
      </c>
      <c r="E415" t="s">
        <v>149</v>
      </c>
      <c r="G415" s="19" cm="1">
        <f t="array" ref="G415">INDEX(PMPM[ Disabled],MATCH(1,(PMPM[State]=MedicaidStatePMPMs[[#This Row],[State]])*(PMPM[Year]=2019),0))</f>
        <v>1593.51</v>
      </c>
      <c r="H415" s="19" cm="1">
        <f t="array" ref="H415">INDEX(PMPM[ Disabled],MATCH(1,(PMPM[State]=MedicaidStatePMPMs[[#This Row],[State]])*(PMPM[Year]=2020),0))</f>
        <v>1527.8</v>
      </c>
      <c r="I415" s="19" cm="1">
        <f t="array" ref="I415">INDEX(PMPM[ Disabled],MATCH(1,(PMPM[State]=MedicaidStatePMPMs[[#This Row],[State]])*(PMPM[Year]=2021),0))</f>
        <v>1512.58</v>
      </c>
      <c r="J415" s="19" cm="1">
        <f t="array" ref="J415">INDEX(PMPM[ Disabled],MATCH(1,(PMPM[State]=MedicaidStatePMPMs[[#This Row],[State]])*(PMPM[Year]=2022),0))</f>
        <v>1572.5</v>
      </c>
      <c r="K415" s="19" cm="1">
        <f t="array" ref="K415">INDEX(PMPM[ Disabled],MATCH(1,(PMPM[State]=MedicaidStatePMPMs[[#This Row],[State]])*(PMPM[Year]=2023),0))</f>
        <v>1572.42</v>
      </c>
      <c r="L415" s="19" cm="1">
        <f t="array" ref="L415">INDEX(PMPM[ Disabled],MATCH(1,(PMPM[State]=MedicaidStatePMPMs[[#This Row],[State]])*(PMPM[Year]=2024),0))</f>
        <v>1618.25</v>
      </c>
    </row>
    <row r="416" spans="2:17">
      <c r="C416" t="s">
        <v>30</v>
      </c>
      <c r="D416" t="s">
        <v>170</v>
      </c>
      <c r="E416" t="s">
        <v>25</v>
      </c>
      <c r="G416" s="49" t="str" cm="1">
        <f t="array" ref="G416">INDEX(PMPM[Expansion Adults],MATCH(1,(PMPM[State]=MedicaidStatePMPMs[[#This Row],[State]])*(PMPM[Year]=2019),0))</f>
        <v>N/A</v>
      </c>
      <c r="H416" s="49" t="str" cm="1">
        <f t="array" ref="H416">INDEX(PMPM[Expansion Adults],MATCH(1,(PMPM[State]=MedicaidStatePMPMs[[#This Row],[State]])*(PMPM[Year]=2020),0))</f>
        <v>N/A</v>
      </c>
      <c r="I416" s="49" t="str" cm="1">
        <f t="array" ref="I416">INDEX(PMPM[Expansion Adults],MATCH(1,(PMPM[State]=MedicaidStatePMPMs[[#This Row],[State]])*(PMPM[Year]=2021),0))</f>
        <v>N/A</v>
      </c>
      <c r="J416" s="49" t="str" cm="1">
        <f t="array" ref="J416">INDEX(PMPM[Expansion Adults],MATCH(1,(PMPM[State]=MedicaidStatePMPMs[[#This Row],[State]])*(PMPM[Year]=2022),0))</f>
        <v>N/A</v>
      </c>
      <c r="K416" s="49" t="str" cm="1">
        <f t="array" ref="K416">INDEX(PMPM[Expansion Adults],MATCH(1,(PMPM[State]=MedicaidStatePMPMs[[#This Row],[State]])*(PMPM[Year]=2023),0))</f>
        <v>N/A</v>
      </c>
      <c r="L416" s="49" t="str" cm="1">
        <f t="array" ref="L416">INDEX(PMPM[Expansion Adults],MATCH(1,(PMPM[State]=MedicaidStatePMPMs[[#This Row],[State]])*(PMPM[Year]=2024),0))</f>
        <v>N/A</v>
      </c>
    </row>
    <row r="417" spans="3:12">
      <c r="C417" t="s">
        <v>30</v>
      </c>
      <c r="D417" t="s">
        <v>172</v>
      </c>
      <c r="E417" t="s">
        <v>171</v>
      </c>
      <c r="G417" s="19" cm="1">
        <f t="array" ref="G417">INDEX(PMPM[Child],MATCH(1,(PMPM[State]=MedicaidStatePMPMs[[#This Row],[State]])*(PMPM[Year]=2019),0))</f>
        <v>221.32</v>
      </c>
      <c r="H417" s="19" cm="1">
        <f t="array" ref="H417">INDEX(PMPM[Child],MATCH(1,(PMPM[State]=MedicaidStatePMPMs[[#This Row],[State]])*(PMPM[Year]=2020),0))</f>
        <v>212.19</v>
      </c>
      <c r="I417" s="19" cm="1">
        <f t="array" ref="I417">INDEX(PMPM[Child],MATCH(1,(PMPM[State]=MedicaidStatePMPMs[[#This Row],[State]])*(PMPM[Year]=2021),0))</f>
        <v>210.08</v>
      </c>
      <c r="J417" s="19" cm="1">
        <f t="array" ref="J417">INDEX(PMPM[Child],MATCH(1,(PMPM[State]=MedicaidStatePMPMs[[#This Row],[State]])*(PMPM[Year]=2022),0))</f>
        <v>218.42</v>
      </c>
      <c r="K417" s="19" cm="1">
        <f t="array" ref="K417">INDEX(PMPM[Child],MATCH(1,(PMPM[State]=MedicaidStatePMPMs[[#This Row],[State]])*(PMPM[Year]=2023),0))</f>
        <v>218.33</v>
      </c>
      <c r="L417" s="19" cm="1">
        <f t="array" ref="L417">INDEX(PMPM[Child],MATCH(1,(PMPM[State]=MedicaidStatePMPMs[[#This Row],[State]])*(PMPM[Year]=2024),0))</f>
        <v>224.75</v>
      </c>
    </row>
    <row r="418" spans="3:12">
      <c r="C418" t="s">
        <v>30</v>
      </c>
      <c r="D418" t="s">
        <v>172</v>
      </c>
      <c r="E418" t="s">
        <v>149</v>
      </c>
      <c r="G418" s="19" cm="1">
        <f t="array" ref="G418">INDEX(PMPM[ Disabled],MATCH(1,(PMPM[State]=MedicaidStatePMPMs[[#This Row],[State]])*(PMPM[Year]=2019),0))</f>
        <v>1593.51</v>
      </c>
      <c r="H418" s="19" cm="1">
        <f t="array" ref="H418">INDEX(PMPM[ Disabled],MATCH(1,(PMPM[State]=MedicaidStatePMPMs[[#This Row],[State]])*(PMPM[Year]=2020),0))</f>
        <v>1527.8</v>
      </c>
      <c r="I418" s="19" cm="1">
        <f t="array" ref="I418">INDEX(PMPM[ Disabled],MATCH(1,(PMPM[State]=MedicaidStatePMPMs[[#This Row],[State]])*(PMPM[Year]=2021),0))</f>
        <v>1512.58</v>
      </c>
      <c r="J418" s="19" cm="1">
        <f t="array" ref="J418">INDEX(PMPM[ Disabled],MATCH(1,(PMPM[State]=MedicaidStatePMPMs[[#This Row],[State]])*(PMPM[Year]=2022),0))</f>
        <v>1572.5</v>
      </c>
      <c r="K418" s="19" cm="1">
        <f t="array" ref="K418">INDEX(PMPM[ Disabled],MATCH(1,(PMPM[State]=MedicaidStatePMPMs[[#This Row],[State]])*(PMPM[Year]=2023),0))</f>
        <v>1572.42</v>
      </c>
      <c r="L418" s="19" cm="1">
        <f t="array" ref="L418">INDEX(PMPM[ Disabled],MATCH(1,(PMPM[State]=MedicaidStatePMPMs[[#This Row],[State]])*(PMPM[Year]=2024),0))</f>
        <v>1618.25</v>
      </c>
    </row>
    <row r="419" spans="3:12">
      <c r="C419" t="s">
        <v>31</v>
      </c>
      <c r="D419" t="s">
        <v>170</v>
      </c>
      <c r="E419" t="s">
        <v>171</v>
      </c>
      <c r="G419" s="19" cm="1">
        <f t="array" ref="G419">INDEX(PMPM[Adults],MATCH(1,(PMPM[State]=MedicaidStatePMPMs[[#This Row],[State]])*(PMPM[Year]=2019),0))</f>
        <v>431.86</v>
      </c>
      <c r="H419" s="19" cm="1">
        <f t="array" ref="H419">INDEX(PMPM[Adults],MATCH(1,(PMPM[State]=MedicaidStatePMPMs[[#This Row],[State]])*(PMPM[Year]=2020),0))</f>
        <v>414.05</v>
      </c>
      <c r="I419" s="19" cm="1">
        <f t="array" ref="I419">INDEX(PMPM[Adults],MATCH(1,(PMPM[State]=MedicaidStatePMPMs[[#This Row],[State]])*(PMPM[Year]=2021),0))</f>
        <v>409.92</v>
      </c>
      <c r="J419" s="19" cm="1">
        <f t="array" ref="J419">INDEX(PMPM[Adults],MATCH(1,(PMPM[State]=MedicaidStatePMPMs[[#This Row],[State]])*(PMPM[Year]=2022),0))</f>
        <v>426.17</v>
      </c>
      <c r="K419" s="19" cm="1">
        <f t="array" ref="K419">INDEX(PMPM[Adults],MATCH(1,(PMPM[State]=MedicaidStatePMPMs[[#This Row],[State]])*(PMPM[Year]=2023),0))</f>
        <v>426.08</v>
      </c>
      <c r="L419" s="19" cm="1">
        <f t="array" ref="L419">INDEX(PMPM[Adults],MATCH(1,(PMPM[State]=MedicaidStatePMPMs[[#This Row],[State]])*(PMPM[Year]=2024),0))</f>
        <v>438.58</v>
      </c>
    </row>
    <row r="420" spans="3:12">
      <c r="C420" t="s">
        <v>31</v>
      </c>
      <c r="D420" t="s">
        <v>170</v>
      </c>
      <c r="E420" t="s">
        <v>149</v>
      </c>
      <c r="G420" s="19" cm="1">
        <f t="array" ref="G420">INDEX(PMPM[ Disabled],MATCH(1,(PMPM[State]=MedicaidStatePMPMs[[#This Row],[State]])*(PMPM[Year]=2019),0))</f>
        <v>1450.85</v>
      </c>
      <c r="H420" s="19" cm="1">
        <f t="array" ref="H420">INDEX(PMPM[ Disabled],MATCH(1,(PMPM[State]=MedicaidStatePMPMs[[#This Row],[State]])*(PMPM[Year]=2020),0))</f>
        <v>1391.03</v>
      </c>
      <c r="I420" s="19" cm="1">
        <f t="array" ref="I420">INDEX(PMPM[ Disabled],MATCH(1,(PMPM[State]=MedicaidStatePMPMs[[#This Row],[State]])*(PMPM[Year]=2021),0))</f>
        <v>1377.17</v>
      </c>
      <c r="J420" s="19" cm="1">
        <f t="array" ref="J420">INDEX(PMPM[ Disabled],MATCH(1,(PMPM[State]=MedicaidStatePMPMs[[#This Row],[State]])*(PMPM[Year]=2022),0))</f>
        <v>1431.67</v>
      </c>
      <c r="K420" s="19" cm="1">
        <f t="array" ref="K420">INDEX(PMPM[ Disabled],MATCH(1,(PMPM[State]=MedicaidStatePMPMs[[#This Row],[State]])*(PMPM[Year]=2023),0))</f>
        <v>1431.58</v>
      </c>
      <c r="L420" s="19" cm="1">
        <f t="array" ref="L420">INDEX(PMPM[ Disabled],MATCH(1,(PMPM[State]=MedicaidStatePMPMs[[#This Row],[State]])*(PMPM[Year]=2024),0))</f>
        <v>1473.33</v>
      </c>
    </row>
    <row r="421" spans="3:12">
      <c r="C421" t="s">
        <v>31</v>
      </c>
      <c r="D421" t="s">
        <v>170</v>
      </c>
      <c r="E421" t="s">
        <v>25</v>
      </c>
      <c r="G421" s="49" t="str" cm="1">
        <f t="array" ref="G421">INDEX(PMPM[Expansion Adults],MATCH(1,(PMPM[State]=MedicaidStatePMPMs[[#This Row],[State]])*(PMPM[Year]=2019),0))</f>
        <v>N/A</v>
      </c>
      <c r="H421" s="49" t="str" cm="1">
        <f t="array" ref="H421">INDEX(PMPM[Expansion Adults],MATCH(1,(PMPM[State]=MedicaidStatePMPMs[[#This Row],[State]])*(PMPM[Year]=2020),0))</f>
        <v>N/A</v>
      </c>
      <c r="I421" s="49" t="str" cm="1">
        <f t="array" ref="I421">INDEX(PMPM[Expansion Adults],MATCH(1,(PMPM[State]=MedicaidStatePMPMs[[#This Row],[State]])*(PMPM[Year]=2021),0))</f>
        <v>N/A</v>
      </c>
      <c r="J421" s="49" t="str" cm="1">
        <f t="array" ref="J421">INDEX(PMPM[Expansion Adults],MATCH(1,(PMPM[State]=MedicaidStatePMPMs[[#This Row],[State]])*(PMPM[Year]=2022),0))</f>
        <v>N/A</v>
      </c>
      <c r="K421" s="49" t="str" cm="1">
        <f t="array" ref="K421">INDEX(PMPM[Expansion Adults],MATCH(1,(PMPM[State]=MedicaidStatePMPMs[[#This Row],[State]])*(PMPM[Year]=2023),0))</f>
        <v>N/A</v>
      </c>
      <c r="L421" s="49" t="str" cm="1">
        <f t="array" ref="L421">INDEX(PMPM[Expansion Adults],MATCH(1,(PMPM[State]=MedicaidStatePMPMs[[#This Row],[State]])*(PMPM[Year]=2024),0))</f>
        <v>N/A</v>
      </c>
    </row>
    <row r="422" spans="3:12">
      <c r="C422" t="s">
        <v>31</v>
      </c>
      <c r="D422" t="s">
        <v>172</v>
      </c>
      <c r="E422" t="s">
        <v>171</v>
      </c>
      <c r="G422" s="19" cm="1">
        <f t="array" ref="G422">INDEX(PMPM[Child],MATCH(1,(PMPM[State]=MedicaidStatePMPMs[[#This Row],[State]])*(PMPM[Year]=2019),0))</f>
        <v>217.99</v>
      </c>
      <c r="H422" s="19" cm="1">
        <f t="array" ref="H422">INDEX(PMPM[Child],MATCH(1,(PMPM[State]=MedicaidStatePMPMs[[#This Row],[State]])*(PMPM[Year]=2020),0))</f>
        <v>209</v>
      </c>
      <c r="I422" s="19" cm="1">
        <f t="array" ref="I422">INDEX(PMPM[Child],MATCH(1,(PMPM[State]=MedicaidStatePMPMs[[#This Row],[State]])*(PMPM[Year]=2021),0))</f>
        <v>206.92</v>
      </c>
      <c r="J422" s="19" cm="1">
        <f t="array" ref="J422">INDEX(PMPM[Child],MATCH(1,(PMPM[State]=MedicaidStatePMPMs[[#This Row],[State]])*(PMPM[Year]=2022),0))</f>
        <v>215.08</v>
      </c>
      <c r="K422" s="19" cm="1">
        <f t="array" ref="K422">INDEX(PMPM[Child],MATCH(1,(PMPM[State]=MedicaidStatePMPMs[[#This Row],[State]])*(PMPM[Year]=2023),0))</f>
        <v>215.08</v>
      </c>
      <c r="L422" s="19" cm="1">
        <f t="array" ref="L422">INDEX(PMPM[Child],MATCH(1,(PMPM[State]=MedicaidStatePMPMs[[#This Row],[State]])*(PMPM[Year]=2024),0))</f>
        <v>221.33</v>
      </c>
    </row>
    <row r="423" spans="3:12">
      <c r="C423" t="s">
        <v>31</v>
      </c>
      <c r="D423" t="s">
        <v>172</v>
      </c>
      <c r="E423" t="s">
        <v>149</v>
      </c>
      <c r="G423" s="19" cm="1">
        <f t="array" ref="G423">INDEX(PMPM[ Disabled],MATCH(1,(PMPM[State]=MedicaidStatePMPMs[[#This Row],[State]])*(PMPM[Year]=2019),0))</f>
        <v>1450.85</v>
      </c>
      <c r="H423" s="19" cm="1">
        <f t="array" ref="H423">INDEX(PMPM[ Disabled],MATCH(1,(PMPM[State]=MedicaidStatePMPMs[[#This Row],[State]])*(PMPM[Year]=2020),0))</f>
        <v>1391.03</v>
      </c>
      <c r="I423" s="19" cm="1">
        <f t="array" ref="I423">INDEX(PMPM[ Disabled],MATCH(1,(PMPM[State]=MedicaidStatePMPMs[[#This Row],[State]])*(PMPM[Year]=2021),0))</f>
        <v>1377.17</v>
      </c>
      <c r="J423" s="19" cm="1">
        <f t="array" ref="J423">INDEX(PMPM[ Disabled],MATCH(1,(PMPM[State]=MedicaidStatePMPMs[[#This Row],[State]])*(PMPM[Year]=2022),0))</f>
        <v>1431.67</v>
      </c>
      <c r="K423" s="19" cm="1">
        <f t="array" ref="K423">INDEX(PMPM[ Disabled],MATCH(1,(PMPM[State]=MedicaidStatePMPMs[[#This Row],[State]])*(PMPM[Year]=2023),0))</f>
        <v>1431.58</v>
      </c>
      <c r="L423" s="19" cm="1">
        <f t="array" ref="L423">INDEX(PMPM[ Disabled],MATCH(1,(PMPM[State]=MedicaidStatePMPMs[[#This Row],[State]])*(PMPM[Year]=2024),0))</f>
        <v>1473.33</v>
      </c>
    </row>
    <row r="424" spans="3:12">
      <c r="C424" t="s">
        <v>32</v>
      </c>
      <c r="D424" t="s">
        <v>170</v>
      </c>
      <c r="E424" t="s">
        <v>171</v>
      </c>
      <c r="G424" s="19" cm="1">
        <f t="array" ref="G424">INDEX(PMPM[Adults],MATCH(1,(PMPM[State]=MedicaidStatePMPMs[[#This Row],[State]])*(PMPM[Year]=2019),0))</f>
        <v>592.16</v>
      </c>
      <c r="H424" s="19" cm="1">
        <f t="array" ref="H424">INDEX(PMPM[Adults],MATCH(1,(PMPM[State]=MedicaidStatePMPMs[[#This Row],[State]])*(PMPM[Year]=2020),0))</f>
        <v>567.74</v>
      </c>
      <c r="I424" s="19" cm="1">
        <f t="array" ref="I424">INDEX(PMPM[Adults],MATCH(1,(PMPM[State]=MedicaidStatePMPMs[[#This Row],[State]])*(PMPM[Year]=2021),0))</f>
        <v>562.08000000000004</v>
      </c>
      <c r="J424" s="19" cm="1">
        <f t="array" ref="J424">INDEX(PMPM[Adults],MATCH(1,(PMPM[State]=MedicaidStatePMPMs[[#This Row],[State]])*(PMPM[Year]=2022),0))</f>
        <v>584.33000000000004</v>
      </c>
      <c r="K424" s="19" cm="1">
        <f t="array" ref="K424">INDEX(PMPM[Adults],MATCH(1,(PMPM[State]=MedicaidStatePMPMs[[#This Row],[State]])*(PMPM[Year]=2023),0))</f>
        <v>584.33000000000004</v>
      </c>
      <c r="L424" s="19" cm="1">
        <f t="array" ref="L424">INDEX(PMPM[Adults],MATCH(1,(PMPM[State]=MedicaidStatePMPMs[[#This Row],[State]])*(PMPM[Year]=2024),0))</f>
        <v>601.33000000000004</v>
      </c>
    </row>
    <row r="425" spans="3:12">
      <c r="C425" t="s">
        <v>32</v>
      </c>
      <c r="D425" t="s">
        <v>170</v>
      </c>
      <c r="E425" t="s">
        <v>149</v>
      </c>
      <c r="G425" s="19" cm="1">
        <f t="array" ref="G425">INDEX(PMPM[ Disabled],MATCH(1,(PMPM[State]=MedicaidStatePMPMs[[#This Row],[State]])*(PMPM[Year]=2019),0))</f>
        <v>1691.23</v>
      </c>
      <c r="H425" s="19" cm="1">
        <f t="array" ref="H425">INDEX(PMPM[ Disabled],MATCH(1,(PMPM[State]=MedicaidStatePMPMs[[#This Row],[State]])*(PMPM[Year]=2020),0))</f>
        <v>1621.49</v>
      </c>
      <c r="I425" s="19" cm="1">
        <f t="array" ref="I425">INDEX(PMPM[ Disabled],MATCH(1,(PMPM[State]=MedicaidStatePMPMs[[#This Row],[State]])*(PMPM[Year]=2021),0))</f>
        <v>1605.33</v>
      </c>
      <c r="J425" s="19" cm="1">
        <f t="array" ref="J425">INDEX(PMPM[ Disabled],MATCH(1,(PMPM[State]=MedicaidStatePMPMs[[#This Row],[State]])*(PMPM[Year]=2022),0))</f>
        <v>1668.92</v>
      </c>
      <c r="K425" s="19" cm="1">
        <f t="array" ref="K425">INDEX(PMPM[ Disabled],MATCH(1,(PMPM[State]=MedicaidStatePMPMs[[#This Row],[State]])*(PMPM[Year]=2023),0))</f>
        <v>1668.75</v>
      </c>
      <c r="L425" s="19" cm="1">
        <f t="array" ref="L425">INDEX(PMPM[ Disabled],MATCH(1,(PMPM[State]=MedicaidStatePMPMs[[#This Row],[State]])*(PMPM[Year]=2024),0))</f>
        <v>1717.42</v>
      </c>
    </row>
    <row r="426" spans="3:12">
      <c r="C426" t="s">
        <v>32</v>
      </c>
      <c r="D426" t="s">
        <v>170</v>
      </c>
      <c r="E426" t="s">
        <v>25</v>
      </c>
      <c r="G426" s="49" cm="1">
        <f t="array" ref="G426">INDEX(PMPM[Expansion Adults],MATCH(1,(PMPM[State]=MedicaidStatePMPMs[[#This Row],[State]])*(PMPM[Year]=2019),0))</f>
        <v>628.5</v>
      </c>
      <c r="H426" s="49" cm="1">
        <f t="array" ref="H426">INDEX(PMPM[Expansion Adults],MATCH(1,(PMPM[State]=MedicaidStatePMPMs[[#This Row],[State]])*(PMPM[Year]=2020),0))</f>
        <v>602.58000000000004</v>
      </c>
      <c r="I426" s="49" cm="1">
        <f t="array" ref="I426">INDEX(PMPM[Expansion Adults],MATCH(1,(PMPM[State]=MedicaidStatePMPMs[[#This Row],[State]])*(PMPM[Year]=2021),0))</f>
        <v>596.58000000000004</v>
      </c>
      <c r="J426" s="49" cm="1">
        <f t="array" ref="J426">INDEX(PMPM[Expansion Adults],MATCH(1,(PMPM[State]=MedicaidStatePMPMs[[#This Row],[State]])*(PMPM[Year]=2022),0))</f>
        <v>620.25</v>
      </c>
      <c r="K426" s="49" cm="1">
        <f t="array" ref="K426">INDEX(PMPM[Expansion Adults],MATCH(1,(PMPM[State]=MedicaidStatePMPMs[[#This Row],[State]])*(PMPM[Year]=2023),0))</f>
        <v>620.16999999999996</v>
      </c>
      <c r="L426" s="49" cm="1">
        <f t="array" ref="L426">INDEX(PMPM[Expansion Adults],MATCH(1,(PMPM[State]=MedicaidStatePMPMs[[#This Row],[State]])*(PMPM[Year]=2024),0))</f>
        <v>638.25</v>
      </c>
    </row>
    <row r="427" spans="3:12">
      <c r="C427" t="s">
        <v>32</v>
      </c>
      <c r="D427" t="s">
        <v>172</v>
      </c>
      <c r="E427" t="s">
        <v>171</v>
      </c>
      <c r="G427" s="19" cm="1">
        <f t="array" ref="G427">INDEX(PMPM[Child],MATCH(1,(PMPM[State]=MedicaidStatePMPMs[[#This Row],[State]])*(PMPM[Year]=2019),0))</f>
        <v>283.22000000000003</v>
      </c>
      <c r="H427" s="19" cm="1">
        <f t="array" ref="H427">INDEX(PMPM[Child],MATCH(1,(PMPM[State]=MedicaidStatePMPMs[[#This Row],[State]])*(PMPM[Year]=2020),0))</f>
        <v>271.54000000000002</v>
      </c>
      <c r="I427" s="19" cm="1">
        <f t="array" ref="I427">INDEX(PMPM[Child],MATCH(1,(PMPM[State]=MedicaidStatePMPMs[[#This Row],[State]])*(PMPM[Year]=2021),0))</f>
        <v>268.83</v>
      </c>
      <c r="J427" s="19" cm="1">
        <f t="array" ref="J427">INDEX(PMPM[Child],MATCH(1,(PMPM[State]=MedicaidStatePMPMs[[#This Row],[State]])*(PMPM[Year]=2022),0))</f>
        <v>279.5</v>
      </c>
      <c r="K427" s="19" cm="1">
        <f t="array" ref="K427">INDEX(PMPM[Child],MATCH(1,(PMPM[State]=MedicaidStatePMPMs[[#This Row],[State]])*(PMPM[Year]=2023),0))</f>
        <v>279.5</v>
      </c>
      <c r="L427" s="19" cm="1">
        <f t="array" ref="L427">INDEX(PMPM[Child],MATCH(1,(PMPM[State]=MedicaidStatePMPMs[[#This Row],[State]])*(PMPM[Year]=2024),0))</f>
        <v>287.67</v>
      </c>
    </row>
    <row r="428" spans="3:12">
      <c r="C428" t="s">
        <v>32</v>
      </c>
      <c r="D428" t="s">
        <v>172</v>
      </c>
      <c r="E428" t="s">
        <v>149</v>
      </c>
      <c r="G428" s="19" cm="1">
        <f t="array" ref="G428">INDEX(PMPM[ Disabled],MATCH(1,(PMPM[State]=MedicaidStatePMPMs[[#This Row],[State]])*(PMPM[Year]=2019),0))</f>
        <v>1691.23</v>
      </c>
      <c r="H428" s="19" cm="1">
        <f t="array" ref="H428">INDEX(PMPM[ Disabled],MATCH(1,(PMPM[State]=MedicaidStatePMPMs[[#This Row],[State]])*(PMPM[Year]=2020),0))</f>
        <v>1621.49</v>
      </c>
      <c r="I428" s="19" cm="1">
        <f t="array" ref="I428">INDEX(PMPM[ Disabled],MATCH(1,(PMPM[State]=MedicaidStatePMPMs[[#This Row],[State]])*(PMPM[Year]=2021),0))</f>
        <v>1605.33</v>
      </c>
      <c r="J428" s="19" cm="1">
        <f t="array" ref="J428">INDEX(PMPM[ Disabled],MATCH(1,(PMPM[State]=MedicaidStatePMPMs[[#This Row],[State]])*(PMPM[Year]=2022),0))</f>
        <v>1668.92</v>
      </c>
      <c r="K428" s="19" cm="1">
        <f t="array" ref="K428">INDEX(PMPM[ Disabled],MATCH(1,(PMPM[State]=MedicaidStatePMPMs[[#This Row],[State]])*(PMPM[Year]=2023),0))</f>
        <v>1668.75</v>
      </c>
      <c r="L428" s="19" cm="1">
        <f t="array" ref="L428">INDEX(PMPM[ Disabled],MATCH(1,(PMPM[State]=MedicaidStatePMPMs[[#This Row],[State]])*(PMPM[Year]=2024),0))</f>
        <v>1717.42</v>
      </c>
    </row>
    <row r="429" spans="3:12">
      <c r="C429" t="s">
        <v>33</v>
      </c>
      <c r="D429" t="s">
        <v>170</v>
      </c>
      <c r="E429" t="s">
        <v>171</v>
      </c>
      <c r="G429" s="19" cm="1">
        <f t="array" ref="G429">INDEX(PMPM[Adults],MATCH(1,(PMPM[State]=MedicaidStatePMPMs[[#This Row],[State]])*(PMPM[Year]=2019),0))</f>
        <v>578.55999999999995</v>
      </c>
      <c r="H429" s="19" cm="1">
        <f t="array" ref="H429">INDEX(PMPM[Adults],MATCH(1,(PMPM[State]=MedicaidStatePMPMs[[#This Row],[State]])*(PMPM[Year]=2020),0))</f>
        <v>554.70000000000005</v>
      </c>
      <c r="I429" s="19" cm="1">
        <f t="array" ref="I429">INDEX(PMPM[Adults],MATCH(1,(PMPM[State]=MedicaidStatePMPMs[[#This Row],[State]])*(PMPM[Year]=2021),0))</f>
        <v>549.16999999999996</v>
      </c>
      <c r="J429" s="19" cm="1">
        <f t="array" ref="J429">INDEX(PMPM[Adults],MATCH(1,(PMPM[State]=MedicaidStatePMPMs[[#This Row],[State]])*(PMPM[Year]=2022),0))</f>
        <v>570.91999999999996</v>
      </c>
      <c r="K429" s="19" cm="1">
        <f t="array" ref="K429">INDEX(PMPM[Adults],MATCH(1,(PMPM[State]=MedicaidStatePMPMs[[#This Row],[State]])*(PMPM[Year]=2023),0))</f>
        <v>570.91999999999996</v>
      </c>
      <c r="L429" s="19" cm="1">
        <f t="array" ref="L429">INDEX(PMPM[Adults],MATCH(1,(PMPM[State]=MedicaidStatePMPMs[[#This Row],[State]])*(PMPM[Year]=2024),0))</f>
        <v>587.58000000000004</v>
      </c>
    </row>
    <row r="430" spans="3:12">
      <c r="C430" t="s">
        <v>33</v>
      </c>
      <c r="D430" t="s">
        <v>170</v>
      </c>
      <c r="E430" t="s">
        <v>149</v>
      </c>
      <c r="G430" s="19" cm="1">
        <f t="array" ref="G430">INDEX(PMPM[ Disabled],MATCH(1,(PMPM[State]=MedicaidStatePMPMs[[#This Row],[State]])*(PMPM[Year]=2019),0))</f>
        <v>1671.83</v>
      </c>
      <c r="H430" s="19" cm="1">
        <f t="array" ref="H430">INDEX(PMPM[ Disabled],MATCH(1,(PMPM[State]=MedicaidStatePMPMs[[#This Row],[State]])*(PMPM[Year]=2020),0))</f>
        <v>1602.89</v>
      </c>
      <c r="I430" s="19" cm="1">
        <f t="array" ref="I430">INDEX(PMPM[ Disabled],MATCH(1,(PMPM[State]=MedicaidStatePMPMs[[#This Row],[State]])*(PMPM[Year]=2021),0))</f>
        <v>1586.92</v>
      </c>
      <c r="J430" s="19" cm="1">
        <f t="array" ref="J430">INDEX(PMPM[ Disabled],MATCH(1,(PMPM[State]=MedicaidStatePMPMs[[#This Row],[State]])*(PMPM[Year]=2022),0))</f>
        <v>1649.83</v>
      </c>
      <c r="K430" s="19" cm="1">
        <f t="array" ref="K430">INDEX(PMPM[ Disabled],MATCH(1,(PMPM[State]=MedicaidStatePMPMs[[#This Row],[State]])*(PMPM[Year]=2023),0))</f>
        <v>1649.75</v>
      </c>
      <c r="L430" s="19" cm="1">
        <f t="array" ref="L430">INDEX(PMPM[ Disabled],MATCH(1,(PMPM[State]=MedicaidStatePMPMs[[#This Row],[State]])*(PMPM[Year]=2024),0))</f>
        <v>1697.83</v>
      </c>
    </row>
    <row r="431" spans="3:12">
      <c r="C431" t="s">
        <v>33</v>
      </c>
      <c r="D431" t="s">
        <v>170</v>
      </c>
      <c r="E431" t="s">
        <v>25</v>
      </c>
      <c r="G431" s="49" t="str" cm="1">
        <f t="array" ref="G431">INDEX(PMPM[Expansion Adults],MATCH(1,(PMPM[State]=MedicaidStatePMPMs[[#This Row],[State]])*(PMPM[Year]=2019),0))</f>
        <v>N/A</v>
      </c>
      <c r="H431" s="49" t="str" cm="1">
        <f t="array" ref="H431">INDEX(PMPM[Expansion Adults],MATCH(1,(PMPM[State]=MedicaidStatePMPMs[[#This Row],[State]])*(PMPM[Year]=2020),0))</f>
        <v>N/A</v>
      </c>
      <c r="I431" s="49" t="str" cm="1">
        <f t="array" ref="I431">INDEX(PMPM[Expansion Adults],MATCH(1,(PMPM[State]=MedicaidStatePMPMs[[#This Row],[State]])*(PMPM[Year]=2021),0))</f>
        <v>N/A</v>
      </c>
      <c r="J431" s="49" t="str" cm="1">
        <f t="array" ref="J431">INDEX(PMPM[Expansion Adults],MATCH(1,(PMPM[State]=MedicaidStatePMPMs[[#This Row],[State]])*(PMPM[Year]=2022),0))</f>
        <v>N/A</v>
      </c>
      <c r="K431" s="49" t="str" cm="1">
        <f t="array" ref="K431">INDEX(PMPM[Expansion Adults],MATCH(1,(PMPM[State]=MedicaidStatePMPMs[[#This Row],[State]])*(PMPM[Year]=2023),0))</f>
        <v>N/A</v>
      </c>
      <c r="L431" s="49" t="str" cm="1">
        <f t="array" ref="L431">INDEX(PMPM[Expansion Adults],MATCH(1,(PMPM[State]=MedicaidStatePMPMs[[#This Row],[State]])*(PMPM[Year]=2024),0))</f>
        <v>N/A</v>
      </c>
    </row>
    <row r="432" spans="3:12">
      <c r="C432" t="s">
        <v>33</v>
      </c>
      <c r="D432" t="s">
        <v>172</v>
      </c>
      <c r="E432" t="s">
        <v>171</v>
      </c>
      <c r="G432" s="19" cm="1">
        <f t="array" ref="G432">INDEX(PMPM[Child],MATCH(1,(PMPM[State]=MedicaidStatePMPMs[[#This Row],[State]])*(PMPM[Year]=2019),0))</f>
        <v>294.72000000000003</v>
      </c>
      <c r="H432" s="19" cm="1">
        <f t="array" ref="H432">INDEX(PMPM[Child],MATCH(1,(PMPM[State]=MedicaidStatePMPMs[[#This Row],[State]])*(PMPM[Year]=2020),0))</f>
        <v>282.57</v>
      </c>
      <c r="I432" s="19" cm="1">
        <f t="array" ref="I432">INDEX(PMPM[Child],MATCH(1,(PMPM[State]=MedicaidStatePMPMs[[#This Row],[State]])*(PMPM[Year]=2021),0))</f>
        <v>279.75</v>
      </c>
      <c r="J432" s="19" cm="1">
        <f t="array" ref="J432">INDEX(PMPM[Child],MATCH(1,(PMPM[State]=MedicaidStatePMPMs[[#This Row],[State]])*(PMPM[Year]=2022),0))</f>
        <v>290.83</v>
      </c>
      <c r="K432" s="19" cm="1">
        <f t="array" ref="K432">INDEX(PMPM[Child],MATCH(1,(PMPM[State]=MedicaidStatePMPMs[[#This Row],[State]])*(PMPM[Year]=2023),0))</f>
        <v>290.83</v>
      </c>
      <c r="L432" s="19" cm="1">
        <f t="array" ref="L432">INDEX(PMPM[Child],MATCH(1,(PMPM[State]=MedicaidStatePMPMs[[#This Row],[State]])*(PMPM[Year]=2024),0))</f>
        <v>299.33</v>
      </c>
    </row>
    <row r="433" spans="3:12">
      <c r="C433" t="s">
        <v>33</v>
      </c>
      <c r="D433" t="s">
        <v>172</v>
      </c>
      <c r="E433" t="s">
        <v>149</v>
      </c>
      <c r="G433" s="19" cm="1">
        <f t="array" ref="G433">INDEX(PMPM[ Disabled],MATCH(1,(PMPM[State]=MedicaidStatePMPMs[[#This Row],[State]])*(PMPM[Year]=2019),0))</f>
        <v>1671.83</v>
      </c>
      <c r="H433" s="19" cm="1">
        <f t="array" ref="H433">INDEX(PMPM[ Disabled],MATCH(1,(PMPM[State]=MedicaidStatePMPMs[[#This Row],[State]])*(PMPM[Year]=2020),0))</f>
        <v>1602.89</v>
      </c>
      <c r="I433" s="19" cm="1">
        <f t="array" ref="I433">INDEX(PMPM[ Disabled],MATCH(1,(PMPM[State]=MedicaidStatePMPMs[[#This Row],[State]])*(PMPM[Year]=2021),0))</f>
        <v>1586.92</v>
      </c>
      <c r="J433" s="19" cm="1">
        <f t="array" ref="J433">INDEX(PMPM[ Disabled],MATCH(1,(PMPM[State]=MedicaidStatePMPMs[[#This Row],[State]])*(PMPM[Year]=2022),0))</f>
        <v>1649.83</v>
      </c>
      <c r="K433" s="19" cm="1">
        <f t="array" ref="K433">INDEX(PMPM[ Disabled],MATCH(1,(PMPM[State]=MedicaidStatePMPMs[[#This Row],[State]])*(PMPM[Year]=2023),0))</f>
        <v>1649.75</v>
      </c>
      <c r="L433" s="19" cm="1">
        <f t="array" ref="L433">INDEX(PMPM[ Disabled],MATCH(1,(PMPM[State]=MedicaidStatePMPMs[[#This Row],[State]])*(PMPM[Year]=2024),0))</f>
        <v>1697.83</v>
      </c>
    </row>
    <row r="434" spans="3:12">
      <c r="C434" t="s">
        <v>57</v>
      </c>
      <c r="D434" t="s">
        <v>170</v>
      </c>
      <c r="E434" t="s">
        <v>171</v>
      </c>
      <c r="G434" s="19" cm="1">
        <f t="array" ref="G434">INDEX(PMPM[Adults],MATCH(1,(PMPM[State]=MedicaidStatePMPMs[[#This Row],[State]])*(PMPM[Year]=2019),0))</f>
        <v>547.29999999999995</v>
      </c>
      <c r="H434" s="19" cm="1">
        <f t="array" ref="H434">INDEX(PMPM[Adults],MATCH(1,(PMPM[State]=MedicaidStatePMPMs[[#This Row],[State]])*(PMPM[Year]=2020),0))</f>
        <v>524.73</v>
      </c>
      <c r="I434" s="19" cm="1">
        <f t="array" ref="I434">INDEX(PMPM[Adults],MATCH(1,(PMPM[State]=MedicaidStatePMPMs[[#This Row],[State]])*(PMPM[Year]=2021),0))</f>
        <v>519.5</v>
      </c>
      <c r="J434" s="19" cm="1">
        <f t="array" ref="J434">INDEX(PMPM[Adults],MATCH(1,(PMPM[State]=MedicaidStatePMPMs[[#This Row],[State]])*(PMPM[Year]=2022),0))</f>
        <v>540.08000000000004</v>
      </c>
      <c r="K434" s="19" cm="1">
        <f t="array" ref="K434">INDEX(PMPM[Adults],MATCH(1,(PMPM[State]=MedicaidStatePMPMs[[#This Row],[State]])*(PMPM[Year]=2023),0))</f>
        <v>540</v>
      </c>
      <c r="L434" s="19" cm="1">
        <f t="array" ref="L434">INDEX(PMPM[Adults],MATCH(1,(PMPM[State]=MedicaidStatePMPMs[[#This Row],[State]])*(PMPM[Year]=2024),0))</f>
        <v>555.75</v>
      </c>
    </row>
    <row r="435" spans="3:12">
      <c r="C435" t="s">
        <v>57</v>
      </c>
      <c r="D435" t="s">
        <v>170</v>
      </c>
      <c r="E435" t="s">
        <v>149</v>
      </c>
      <c r="G435" s="19" cm="1">
        <f t="array" ref="G435">INDEX(PMPM[ Disabled],MATCH(1,(PMPM[State]=MedicaidStatePMPMs[[#This Row],[State]])*(PMPM[Year]=2019),0))</f>
        <v>2465.2800000000002</v>
      </c>
      <c r="H435" s="19" cm="1">
        <f t="array" ref="H435">INDEX(PMPM[ Disabled],MATCH(1,(PMPM[State]=MedicaidStatePMPMs[[#This Row],[State]])*(PMPM[Year]=2020),0))</f>
        <v>2363.63</v>
      </c>
      <c r="I435" s="19" cm="1">
        <f t="array" ref="I435">INDEX(PMPM[ Disabled],MATCH(1,(PMPM[State]=MedicaidStatePMPMs[[#This Row],[State]])*(PMPM[Year]=2021),0))</f>
        <v>2340.08</v>
      </c>
      <c r="J435" s="19" cm="1">
        <f t="array" ref="J435">INDEX(PMPM[ Disabled],MATCH(1,(PMPM[State]=MedicaidStatePMPMs[[#This Row],[State]])*(PMPM[Year]=2022),0))</f>
        <v>2432.83</v>
      </c>
      <c r="K435" s="19" cm="1">
        <f t="array" ref="K435">INDEX(PMPM[ Disabled],MATCH(1,(PMPM[State]=MedicaidStatePMPMs[[#This Row],[State]])*(PMPM[Year]=2023),0))</f>
        <v>2432.67</v>
      </c>
      <c r="L435" s="19" cm="1">
        <f t="array" ref="L435">INDEX(PMPM[ Disabled],MATCH(1,(PMPM[State]=MedicaidStatePMPMs[[#This Row],[State]])*(PMPM[Year]=2024),0))</f>
        <v>2503.58</v>
      </c>
    </row>
    <row r="436" spans="3:12">
      <c r="C436" t="s">
        <v>57</v>
      </c>
      <c r="D436" t="s">
        <v>170</v>
      </c>
      <c r="E436" t="s">
        <v>25</v>
      </c>
      <c r="G436" s="49" cm="1">
        <f t="array" ref="G436">INDEX(PMPM[Expansion Adults],MATCH(1,(PMPM[State]=MedicaidStatePMPMs[[#This Row],[State]])*(PMPM[Year]=2019),0))</f>
        <v>532.47</v>
      </c>
      <c r="H436" s="49" cm="1">
        <f t="array" ref="H436">INDEX(PMPM[Expansion Adults],MATCH(1,(PMPM[State]=MedicaidStatePMPMs[[#This Row],[State]])*(PMPM[Year]=2020),0))</f>
        <v>510.51</v>
      </c>
      <c r="I436" s="49" cm="1">
        <f t="array" ref="I436">INDEX(PMPM[Expansion Adults],MATCH(1,(PMPM[State]=MedicaidStatePMPMs[[#This Row],[State]])*(PMPM[Year]=2021),0))</f>
        <v>505.42</v>
      </c>
      <c r="J436" s="49" cm="1">
        <f t="array" ref="J436">INDEX(PMPM[Expansion Adults],MATCH(1,(PMPM[State]=MedicaidStatePMPMs[[#This Row],[State]])*(PMPM[Year]=2022),0))</f>
        <v>525.41999999999996</v>
      </c>
      <c r="K436" s="49" cm="1">
        <f t="array" ref="K436">INDEX(PMPM[Expansion Adults],MATCH(1,(PMPM[State]=MedicaidStatePMPMs[[#This Row],[State]])*(PMPM[Year]=2023),0))</f>
        <v>525.41999999999996</v>
      </c>
      <c r="L436" s="49" cm="1">
        <f t="array" ref="L436">INDEX(PMPM[Expansion Adults],MATCH(1,(PMPM[State]=MedicaidStatePMPMs[[#This Row],[State]])*(PMPM[Year]=2024),0))</f>
        <v>540.66999999999996</v>
      </c>
    </row>
    <row r="437" spans="3:12">
      <c r="C437" t="s">
        <v>57</v>
      </c>
      <c r="D437" t="s">
        <v>172</v>
      </c>
      <c r="E437" t="s">
        <v>171</v>
      </c>
      <c r="G437" s="19" cm="1">
        <f t="array" ref="G437">INDEX(PMPM[Child],MATCH(1,(PMPM[State]=MedicaidStatePMPMs[[#This Row],[State]])*(PMPM[Year]=2019),0))</f>
        <v>380.23</v>
      </c>
      <c r="H437" s="19" cm="1">
        <f t="array" ref="H437">INDEX(PMPM[Child],MATCH(1,(PMPM[State]=MedicaidStatePMPMs[[#This Row],[State]])*(PMPM[Year]=2020),0))</f>
        <v>364.55</v>
      </c>
      <c r="I437" s="19" cm="1">
        <f t="array" ref="I437">INDEX(PMPM[Child],MATCH(1,(PMPM[State]=MedicaidStatePMPMs[[#This Row],[State]])*(PMPM[Year]=2021),0))</f>
        <v>360.92</v>
      </c>
      <c r="J437" s="19" cm="1">
        <f t="array" ref="J437">INDEX(PMPM[Child],MATCH(1,(PMPM[State]=MedicaidStatePMPMs[[#This Row],[State]])*(PMPM[Year]=2022),0))</f>
        <v>375.25</v>
      </c>
      <c r="K437" s="19" cm="1">
        <f t="array" ref="K437">INDEX(PMPM[Child],MATCH(1,(PMPM[State]=MedicaidStatePMPMs[[#This Row],[State]])*(PMPM[Year]=2023),0))</f>
        <v>375.17</v>
      </c>
      <c r="L437" s="19" cm="1">
        <f t="array" ref="L437">INDEX(PMPM[Child],MATCH(1,(PMPM[State]=MedicaidStatePMPMs[[#This Row],[State]])*(PMPM[Year]=2024),0))</f>
        <v>386.08</v>
      </c>
    </row>
    <row r="438" spans="3:12">
      <c r="C438" t="s">
        <v>57</v>
      </c>
      <c r="D438" t="s">
        <v>172</v>
      </c>
      <c r="E438" t="s">
        <v>149</v>
      </c>
      <c r="G438" s="19" cm="1">
        <f t="array" ref="G438">INDEX(PMPM[ Disabled],MATCH(1,(PMPM[State]=MedicaidStatePMPMs[[#This Row],[State]])*(PMPM[Year]=2019),0))</f>
        <v>2465.2800000000002</v>
      </c>
      <c r="H438" s="19" cm="1">
        <f t="array" ref="H438">INDEX(PMPM[ Disabled],MATCH(1,(PMPM[State]=MedicaidStatePMPMs[[#This Row],[State]])*(PMPM[Year]=2020),0))</f>
        <v>2363.63</v>
      </c>
      <c r="I438" s="19" cm="1">
        <f t="array" ref="I438">INDEX(PMPM[ Disabled],MATCH(1,(PMPM[State]=MedicaidStatePMPMs[[#This Row],[State]])*(PMPM[Year]=2021),0))</f>
        <v>2340.08</v>
      </c>
      <c r="J438" s="19" cm="1">
        <f t="array" ref="J438">INDEX(PMPM[ Disabled],MATCH(1,(PMPM[State]=MedicaidStatePMPMs[[#This Row],[State]])*(PMPM[Year]=2022),0))</f>
        <v>2432.83</v>
      </c>
      <c r="K438" s="19" cm="1">
        <f t="array" ref="K438">INDEX(PMPM[ Disabled],MATCH(1,(PMPM[State]=MedicaidStatePMPMs[[#This Row],[State]])*(PMPM[Year]=2023),0))</f>
        <v>2432.67</v>
      </c>
      <c r="L438" s="19" cm="1">
        <f t="array" ref="L438">INDEX(PMPM[ Disabled],MATCH(1,(PMPM[State]=MedicaidStatePMPMs[[#This Row],[State]])*(PMPM[Year]=2024),0))</f>
        <v>2503.58</v>
      </c>
    </row>
    <row r="439" spans="3:12">
      <c r="C439" t="s">
        <v>34</v>
      </c>
      <c r="D439" t="s">
        <v>170</v>
      </c>
      <c r="E439" t="s">
        <v>171</v>
      </c>
      <c r="G439" s="19" cm="1">
        <f t="array" ref="G439">INDEX(PMPM[Adults],MATCH(1,(PMPM[State]=MedicaidStatePMPMs[[#This Row],[State]])*(PMPM[Year]=2019),0))</f>
        <v>577.14</v>
      </c>
      <c r="H439" s="19" cm="1">
        <f t="array" ref="H439">INDEX(PMPM[Adults],MATCH(1,(PMPM[State]=MedicaidStatePMPMs[[#This Row],[State]])*(PMPM[Year]=2020),0))</f>
        <v>553.34</v>
      </c>
      <c r="I439" s="19" cm="1">
        <f t="array" ref="I439">INDEX(PMPM[Adults],MATCH(1,(PMPM[State]=MedicaidStatePMPMs[[#This Row],[State]])*(PMPM[Year]=2021),0))</f>
        <v>547.83000000000004</v>
      </c>
      <c r="J439" s="19" cm="1">
        <f t="array" ref="J439">INDEX(PMPM[Adults],MATCH(1,(PMPM[State]=MedicaidStatePMPMs[[#This Row],[State]])*(PMPM[Year]=2022),0))</f>
        <v>569.58000000000004</v>
      </c>
      <c r="K439" s="19" cm="1">
        <f t="array" ref="K439">INDEX(PMPM[Adults],MATCH(1,(PMPM[State]=MedicaidStatePMPMs[[#This Row],[State]])*(PMPM[Year]=2023),0))</f>
        <v>569.5</v>
      </c>
      <c r="L439" s="19" cm="1">
        <f t="array" ref="L439">INDEX(PMPM[Adults],MATCH(1,(PMPM[State]=MedicaidStatePMPMs[[#This Row],[State]])*(PMPM[Year]=2024),0))</f>
        <v>586.16999999999996</v>
      </c>
    </row>
    <row r="440" spans="3:12">
      <c r="C440" t="s">
        <v>34</v>
      </c>
      <c r="D440" t="s">
        <v>170</v>
      </c>
      <c r="E440" t="s">
        <v>149</v>
      </c>
      <c r="G440" s="19" cm="1">
        <f t="array" ref="G440">INDEX(PMPM[ Disabled],MATCH(1,(PMPM[State]=MedicaidStatePMPMs[[#This Row],[State]])*(PMPM[Year]=2019),0))</f>
        <v>1996.47</v>
      </c>
      <c r="H440" s="19" cm="1">
        <f t="array" ref="H440">INDEX(PMPM[ Disabled],MATCH(1,(PMPM[State]=MedicaidStatePMPMs[[#This Row],[State]])*(PMPM[Year]=2020),0))</f>
        <v>1914.15</v>
      </c>
      <c r="I440" s="19" cm="1">
        <f t="array" ref="I440">INDEX(PMPM[ Disabled],MATCH(1,(PMPM[State]=MedicaidStatePMPMs[[#This Row],[State]])*(PMPM[Year]=2021),0))</f>
        <v>1895.08</v>
      </c>
      <c r="J440" s="19" cm="1">
        <f t="array" ref="J440">INDEX(PMPM[ Disabled],MATCH(1,(PMPM[State]=MedicaidStatePMPMs[[#This Row],[State]])*(PMPM[Year]=2022),0))</f>
        <v>1970.17</v>
      </c>
      <c r="K440" s="19" cm="1">
        <f t="array" ref="K440">INDEX(PMPM[ Disabled],MATCH(1,(PMPM[State]=MedicaidStatePMPMs[[#This Row],[State]])*(PMPM[Year]=2023),0))</f>
        <v>1970.08</v>
      </c>
      <c r="L440" s="19" cm="1">
        <f t="array" ref="L440">INDEX(PMPM[ Disabled],MATCH(1,(PMPM[State]=MedicaidStatePMPMs[[#This Row],[State]])*(PMPM[Year]=2024),0))</f>
        <v>2027.5</v>
      </c>
    </row>
    <row r="441" spans="3:12">
      <c r="C441" t="s">
        <v>34</v>
      </c>
      <c r="D441" t="s">
        <v>170</v>
      </c>
      <c r="E441" t="s">
        <v>25</v>
      </c>
      <c r="G441" s="49" t="str" cm="1">
        <f t="array" ref="G441">INDEX(PMPM[Expansion Adults],MATCH(1,(PMPM[State]=MedicaidStatePMPMs[[#This Row],[State]])*(PMPM[Year]=2019),0))</f>
        <v>N/A</v>
      </c>
      <c r="H441" s="49" t="str" cm="1">
        <f t="array" ref="H441">INDEX(PMPM[Expansion Adults],MATCH(1,(PMPM[State]=MedicaidStatePMPMs[[#This Row],[State]])*(PMPM[Year]=2020),0))</f>
        <v>N/A</v>
      </c>
      <c r="I441" s="49" t="str" cm="1">
        <f t="array" ref="I441">INDEX(PMPM[Expansion Adults],MATCH(1,(PMPM[State]=MedicaidStatePMPMs[[#This Row],[State]])*(PMPM[Year]=2021),0))</f>
        <v>N/A</v>
      </c>
      <c r="J441" s="49" t="str" cm="1">
        <f t="array" ref="J441">INDEX(PMPM[Expansion Adults],MATCH(1,(PMPM[State]=MedicaidStatePMPMs[[#This Row],[State]])*(PMPM[Year]=2022),0))</f>
        <v>N/A</v>
      </c>
      <c r="K441" s="49" t="str" cm="1">
        <f t="array" ref="K441">INDEX(PMPM[Expansion Adults],MATCH(1,(PMPM[State]=MedicaidStatePMPMs[[#This Row],[State]])*(PMPM[Year]=2023),0))</f>
        <v>N/A</v>
      </c>
      <c r="L441" s="19" cm="1">
        <f t="array" ref="L441">INDEX(PMPM[Adults],MATCH(1,(PMPM[State]=MedicaidStatePMPMs[[#This Row],[State]])*(PMPM[Year]=2024),0))</f>
        <v>586.16999999999996</v>
      </c>
    </row>
    <row r="442" spans="3:12">
      <c r="C442" t="s">
        <v>34</v>
      </c>
      <c r="D442" t="s">
        <v>172</v>
      </c>
      <c r="E442" t="s">
        <v>171</v>
      </c>
      <c r="G442" s="19" cm="1">
        <f t="array" ref="G442">INDEX(PMPM[Child],MATCH(1,(PMPM[State]=MedicaidStatePMPMs[[#This Row],[State]])*(PMPM[Year]=2019),0))</f>
        <v>304.45999999999998</v>
      </c>
      <c r="H442" s="19" cm="1">
        <f t="array" ref="H442">INDEX(PMPM[Child],MATCH(1,(PMPM[State]=MedicaidStatePMPMs[[#This Row],[State]])*(PMPM[Year]=2020),0))</f>
        <v>291.91000000000003</v>
      </c>
      <c r="I442" s="19" cm="1">
        <f t="array" ref="I442">INDEX(PMPM[Child],MATCH(1,(PMPM[State]=MedicaidStatePMPMs[[#This Row],[State]])*(PMPM[Year]=2021),0))</f>
        <v>289</v>
      </c>
      <c r="J442" s="19" cm="1">
        <f t="array" ref="J442">INDEX(PMPM[Child],MATCH(1,(PMPM[State]=MedicaidStatePMPMs[[#This Row],[State]])*(PMPM[Year]=2022),0))</f>
        <v>300.42</v>
      </c>
      <c r="K442" s="19" cm="1">
        <f t="array" ref="K442">INDEX(PMPM[Child],MATCH(1,(PMPM[State]=MedicaidStatePMPMs[[#This Row],[State]])*(PMPM[Year]=2023),0))</f>
        <v>300.42</v>
      </c>
      <c r="L442" s="19" cm="1">
        <f t="array" ref="L442">INDEX(PMPM[Child],MATCH(1,(PMPM[State]=MedicaidStatePMPMs[[#This Row],[State]])*(PMPM[Year]=2024),0))</f>
        <v>309.17</v>
      </c>
    </row>
    <row r="443" spans="3:12">
      <c r="C443" t="s">
        <v>34</v>
      </c>
      <c r="D443" t="s">
        <v>172</v>
      </c>
      <c r="E443" t="s">
        <v>149</v>
      </c>
      <c r="G443" s="19" cm="1">
        <f t="array" ref="G443">INDEX(PMPM[ Disabled],MATCH(1,(PMPM[State]=MedicaidStatePMPMs[[#This Row],[State]])*(PMPM[Year]=2019),0))</f>
        <v>1996.47</v>
      </c>
      <c r="H443" s="19" cm="1">
        <f t="array" ref="H443">INDEX(PMPM[ Disabled],MATCH(1,(PMPM[State]=MedicaidStatePMPMs[[#This Row],[State]])*(PMPM[Year]=2020),0))</f>
        <v>1914.15</v>
      </c>
      <c r="I443" s="19" cm="1">
        <f t="array" ref="I443">INDEX(PMPM[ Disabled],MATCH(1,(PMPM[State]=MedicaidStatePMPMs[[#This Row],[State]])*(PMPM[Year]=2021),0))</f>
        <v>1895.08</v>
      </c>
      <c r="J443" s="19" cm="1">
        <f t="array" ref="J443">INDEX(PMPM[ Disabled],MATCH(1,(PMPM[State]=MedicaidStatePMPMs[[#This Row],[State]])*(PMPM[Year]=2022),0))</f>
        <v>1970.17</v>
      </c>
      <c r="K443" s="19" cm="1">
        <f t="array" ref="K443">INDEX(PMPM[ Disabled],MATCH(1,(PMPM[State]=MedicaidStatePMPMs[[#This Row],[State]])*(PMPM[Year]=2023),0))</f>
        <v>1970.08</v>
      </c>
      <c r="L443" s="19" cm="1">
        <f t="array" ref="L443">INDEX(PMPM[ Disabled],MATCH(1,(PMPM[State]=MedicaidStatePMPMs[[#This Row],[State]])*(PMPM[Year]=2024),0))</f>
        <v>2027.5</v>
      </c>
    </row>
    <row r="444" spans="3:12">
      <c r="C444" t="s">
        <v>35</v>
      </c>
      <c r="D444" t="s">
        <v>170</v>
      </c>
      <c r="E444" t="s">
        <v>171</v>
      </c>
      <c r="G444" s="19" cm="1">
        <f t="array" ref="G444">INDEX(PMPM[Adults],MATCH(1,(PMPM[State]=MedicaidStatePMPMs[[#This Row],[State]])*(PMPM[Year]=2019),0))</f>
        <v>411.93</v>
      </c>
      <c r="H444" s="19" cm="1">
        <f t="array" ref="H444">INDEX(PMPM[Adults],MATCH(1,(PMPM[State]=MedicaidStatePMPMs[[#This Row],[State]])*(PMPM[Year]=2020),0))</f>
        <v>394.94</v>
      </c>
      <c r="I444" s="19" cm="1">
        <f t="array" ref="I444">INDEX(PMPM[Adults],MATCH(1,(PMPM[State]=MedicaidStatePMPMs[[#This Row],[State]])*(PMPM[Year]=2021),0))</f>
        <v>391</v>
      </c>
      <c r="J444" s="19" cm="1">
        <f t="array" ref="J444">INDEX(PMPM[Adults],MATCH(1,(PMPM[State]=MedicaidStatePMPMs[[#This Row],[State]])*(PMPM[Year]=2022),0))</f>
        <v>406.5</v>
      </c>
      <c r="K444" s="19" cm="1">
        <f t="array" ref="K444">INDEX(PMPM[Adults],MATCH(1,(PMPM[State]=MedicaidStatePMPMs[[#This Row],[State]])*(PMPM[Year]=2023),0))</f>
        <v>406.42</v>
      </c>
      <c r="L444" s="19" cm="1">
        <f t="array" ref="L444">INDEX(PMPM[Adults],MATCH(1,(PMPM[State]=MedicaidStatePMPMs[[#This Row],[State]])*(PMPM[Year]=2024),0))</f>
        <v>418.33</v>
      </c>
    </row>
    <row r="445" spans="3:12">
      <c r="C445" t="s">
        <v>35</v>
      </c>
      <c r="D445" t="s">
        <v>170</v>
      </c>
      <c r="E445" t="s">
        <v>149</v>
      </c>
      <c r="G445" s="19" cm="1">
        <f t="array" ref="G445">INDEX(PMPM[ Disabled],MATCH(1,(PMPM[State]=MedicaidStatePMPMs[[#This Row],[State]])*(PMPM[Year]=2019),0))</f>
        <v>1495.37</v>
      </c>
      <c r="H445" s="19" cm="1">
        <f t="array" ref="H445">INDEX(PMPM[ Disabled],MATCH(1,(PMPM[State]=MedicaidStatePMPMs[[#This Row],[State]])*(PMPM[Year]=2020),0))</f>
        <v>1433.71</v>
      </c>
      <c r="I445" s="19" cm="1">
        <f t="array" ref="I445">INDEX(PMPM[ Disabled],MATCH(1,(PMPM[State]=MedicaidStatePMPMs[[#This Row],[State]])*(PMPM[Year]=2021),0))</f>
        <v>1419.42</v>
      </c>
      <c r="J445" s="19" cm="1">
        <f t="array" ref="J445">INDEX(PMPM[ Disabled],MATCH(1,(PMPM[State]=MedicaidStatePMPMs[[#This Row],[State]])*(PMPM[Year]=2022),0))</f>
        <v>1475.67</v>
      </c>
      <c r="K445" s="19" cm="1">
        <f t="array" ref="K445">INDEX(PMPM[ Disabled],MATCH(1,(PMPM[State]=MedicaidStatePMPMs[[#This Row],[State]])*(PMPM[Year]=2023),0))</f>
        <v>1475.58</v>
      </c>
      <c r="L445" s="19" cm="1">
        <f t="array" ref="L445">INDEX(PMPM[ Disabled],MATCH(1,(PMPM[State]=MedicaidStatePMPMs[[#This Row],[State]])*(PMPM[Year]=2024),0))</f>
        <v>1518.58</v>
      </c>
    </row>
    <row r="446" spans="3:12">
      <c r="C446" t="s">
        <v>35</v>
      </c>
      <c r="D446" t="s">
        <v>170</v>
      </c>
      <c r="E446" t="s">
        <v>25</v>
      </c>
      <c r="G446" s="49" t="str" cm="1">
        <f t="array" ref="G446">INDEX(PMPM[Expansion Adults],MATCH(1,(PMPM[State]=MedicaidStatePMPMs[[#This Row],[State]])*(PMPM[Year]=2019),0))</f>
        <v>N/A</v>
      </c>
      <c r="H446" s="49" t="str" cm="1">
        <f t="array" ref="H446">INDEX(PMPM[Expansion Adults],MATCH(1,(PMPM[State]=MedicaidStatePMPMs[[#This Row],[State]])*(PMPM[Year]=2020),0))</f>
        <v>N/A</v>
      </c>
      <c r="I446" s="49" t="str" cm="1">
        <f t="array" ref="I446">INDEX(PMPM[Expansion Adults],MATCH(1,(PMPM[State]=MedicaidStatePMPMs[[#This Row],[State]])*(PMPM[Year]=2021),0))</f>
        <v>N/A</v>
      </c>
      <c r="J446" s="49" t="str" cm="1">
        <f t="array" ref="J446">INDEX(PMPM[Expansion Adults],MATCH(1,(PMPM[State]=MedicaidStatePMPMs[[#This Row],[State]])*(PMPM[Year]=2022),0))</f>
        <v>N/A</v>
      </c>
      <c r="K446" s="49" t="str" cm="1">
        <f t="array" ref="K446">INDEX(PMPM[Expansion Adults],MATCH(1,(PMPM[State]=MedicaidStatePMPMs[[#This Row],[State]])*(PMPM[Year]=2023),0))</f>
        <v>N/A</v>
      </c>
      <c r="L446" s="49" t="str" cm="1">
        <f t="array" ref="L446">INDEX(PMPM[Expansion Adults],MATCH(1,(PMPM[State]=MedicaidStatePMPMs[[#This Row],[State]])*(PMPM[Year]=2024),0))</f>
        <v>N/A</v>
      </c>
    </row>
    <row r="447" spans="3:12">
      <c r="C447" t="s">
        <v>35</v>
      </c>
      <c r="D447" t="s">
        <v>172</v>
      </c>
      <c r="E447" t="s">
        <v>171</v>
      </c>
      <c r="G447" s="19" cm="1">
        <f t="array" ref="G447">INDEX(PMPM[Child],MATCH(1,(PMPM[State]=MedicaidStatePMPMs[[#This Row],[State]])*(PMPM[Year]=2019),0))</f>
        <v>226.95</v>
      </c>
      <c r="H447" s="19" cm="1">
        <f t="array" ref="H447">INDEX(PMPM[Child],MATCH(1,(PMPM[State]=MedicaidStatePMPMs[[#This Row],[State]])*(PMPM[Year]=2020),0))</f>
        <v>217.59</v>
      </c>
      <c r="I447" s="19" cm="1">
        <f t="array" ref="I447">INDEX(PMPM[Child],MATCH(1,(PMPM[State]=MedicaidStatePMPMs[[#This Row],[State]])*(PMPM[Year]=2021),0))</f>
        <v>215.42</v>
      </c>
      <c r="J447" s="19" cm="1">
        <f t="array" ref="J447">INDEX(PMPM[Child],MATCH(1,(PMPM[State]=MedicaidStatePMPMs[[#This Row],[State]])*(PMPM[Year]=2022),0))</f>
        <v>224</v>
      </c>
      <c r="K447" s="19" cm="1">
        <f t="array" ref="K447">INDEX(PMPM[Child],MATCH(1,(PMPM[State]=MedicaidStatePMPMs[[#This Row],[State]])*(PMPM[Year]=2023),0))</f>
        <v>223.92</v>
      </c>
      <c r="L447" s="19" cm="1">
        <f t="array" ref="L447">INDEX(PMPM[Child],MATCH(1,(PMPM[State]=MedicaidStatePMPMs[[#This Row],[State]])*(PMPM[Year]=2024),0))</f>
        <v>230.5</v>
      </c>
    </row>
    <row r="448" spans="3:12">
      <c r="C448" t="s">
        <v>35</v>
      </c>
      <c r="D448" t="s">
        <v>172</v>
      </c>
      <c r="E448" t="s">
        <v>149</v>
      </c>
      <c r="G448" s="19" cm="1">
        <f t="array" ref="G448">INDEX(PMPM[ Disabled],MATCH(1,(PMPM[State]=MedicaidStatePMPMs[[#This Row],[State]])*(PMPM[Year]=2019),0))</f>
        <v>1495.37</v>
      </c>
      <c r="H448" s="19" cm="1">
        <f t="array" ref="H448">INDEX(PMPM[ Disabled],MATCH(1,(PMPM[State]=MedicaidStatePMPMs[[#This Row],[State]])*(PMPM[Year]=2020),0))</f>
        <v>1433.71</v>
      </c>
      <c r="I448" s="19" cm="1">
        <f t="array" ref="I448">INDEX(PMPM[ Disabled],MATCH(1,(PMPM[State]=MedicaidStatePMPMs[[#This Row],[State]])*(PMPM[Year]=2021),0))</f>
        <v>1419.42</v>
      </c>
      <c r="J448" s="19" cm="1">
        <f t="array" ref="J448">INDEX(PMPM[ Disabled],MATCH(1,(PMPM[State]=MedicaidStatePMPMs[[#This Row],[State]])*(PMPM[Year]=2022),0))</f>
        <v>1475.67</v>
      </c>
      <c r="K448" s="19" cm="1">
        <f t="array" ref="K448">INDEX(PMPM[ Disabled],MATCH(1,(PMPM[State]=MedicaidStatePMPMs[[#This Row],[State]])*(PMPM[Year]=2023),0))</f>
        <v>1475.58</v>
      </c>
      <c r="L448" s="19" cm="1">
        <f t="array" ref="L448">INDEX(PMPM[ Disabled],MATCH(1,(PMPM[State]=MedicaidStatePMPMs[[#This Row],[State]])*(PMPM[Year]=2024),0))</f>
        <v>1518.58</v>
      </c>
    </row>
    <row r="449" spans="3:12">
      <c r="C449" t="s">
        <v>36</v>
      </c>
      <c r="D449" t="s">
        <v>170</v>
      </c>
      <c r="E449" t="s">
        <v>171</v>
      </c>
      <c r="G449" s="19" cm="1">
        <f t="array" ref="G449">INDEX(PMPM[Adults],MATCH(1,(PMPM[State]=MedicaidStatePMPMs[[#This Row],[State]])*(PMPM[Year]=2019),0))</f>
        <v>454.58</v>
      </c>
      <c r="H449" s="19" cm="1">
        <f t="array" ref="H449">INDEX(PMPM[Adults],MATCH(1,(PMPM[State]=MedicaidStatePMPMs[[#This Row],[State]])*(PMPM[Year]=2020),0))</f>
        <v>435.84</v>
      </c>
      <c r="I449" s="19" cm="1">
        <f t="array" ref="I449">INDEX(PMPM[Adults],MATCH(1,(PMPM[State]=MedicaidStatePMPMs[[#This Row],[State]])*(PMPM[Year]=2021),0))</f>
        <v>431.5</v>
      </c>
      <c r="J449" s="19" cm="1">
        <f t="array" ref="J449">INDEX(PMPM[Adults],MATCH(1,(PMPM[State]=MedicaidStatePMPMs[[#This Row],[State]])*(PMPM[Year]=2022),0))</f>
        <v>448.58</v>
      </c>
      <c r="K449" s="19" cm="1">
        <f t="array" ref="K449">INDEX(PMPM[Adults],MATCH(1,(PMPM[State]=MedicaidStatePMPMs[[#This Row],[State]])*(PMPM[Year]=2023),0))</f>
        <v>448.58</v>
      </c>
      <c r="L449" s="19" cm="1">
        <f t="array" ref="L449">INDEX(PMPM[Adults],MATCH(1,(PMPM[State]=MedicaidStatePMPMs[[#This Row],[State]])*(PMPM[Year]=2024),0))</f>
        <v>461.67</v>
      </c>
    </row>
    <row r="450" spans="3:12">
      <c r="C450" t="s">
        <v>36</v>
      </c>
      <c r="D450" t="s">
        <v>170</v>
      </c>
      <c r="E450" t="s">
        <v>149</v>
      </c>
      <c r="G450" s="19" cm="1">
        <f t="array" ref="G450">INDEX(PMPM[ Disabled],MATCH(1,(PMPM[State]=MedicaidStatePMPMs[[#This Row],[State]])*(PMPM[Year]=2019),0))</f>
        <v>1482.62</v>
      </c>
      <c r="H450" s="19" cm="1">
        <f t="array" ref="H450">INDEX(PMPM[ Disabled],MATCH(1,(PMPM[State]=MedicaidStatePMPMs[[#This Row],[State]])*(PMPM[Year]=2020),0))</f>
        <v>1421.49</v>
      </c>
      <c r="I450" s="19" cm="1">
        <f t="array" ref="I450">INDEX(PMPM[ Disabled],MATCH(1,(PMPM[State]=MedicaidStatePMPMs[[#This Row],[State]])*(PMPM[Year]=2021),0))</f>
        <v>1407.33</v>
      </c>
      <c r="J450" s="19" cm="1">
        <f t="array" ref="J450">INDEX(PMPM[ Disabled],MATCH(1,(PMPM[State]=MedicaidStatePMPMs[[#This Row],[State]])*(PMPM[Year]=2022),0))</f>
        <v>1463.08</v>
      </c>
      <c r="K450" s="19" cm="1">
        <f t="array" ref="K450">INDEX(PMPM[ Disabled],MATCH(1,(PMPM[State]=MedicaidStatePMPMs[[#This Row],[State]])*(PMPM[Year]=2023),0))</f>
        <v>1462.92</v>
      </c>
      <c r="L450" s="19" cm="1">
        <f t="array" ref="L450">INDEX(PMPM[ Disabled],MATCH(1,(PMPM[State]=MedicaidStatePMPMs[[#This Row],[State]])*(PMPM[Year]=2024),0))</f>
        <v>1505.58</v>
      </c>
    </row>
    <row r="451" spans="3:12">
      <c r="C451" t="s">
        <v>36</v>
      </c>
      <c r="D451" t="s">
        <v>170</v>
      </c>
      <c r="E451" t="s">
        <v>25</v>
      </c>
      <c r="G451" s="49" t="str" cm="1">
        <f t="array" ref="G451">INDEX(PMPM[Expansion Adults],MATCH(1,(PMPM[State]=MedicaidStatePMPMs[[#This Row],[State]])*(PMPM[Year]=2019),0))</f>
        <v>N/A</v>
      </c>
      <c r="H451" s="49" t="str" cm="1">
        <f t="array" ref="H451">INDEX(PMPM[Expansion Adults],MATCH(1,(PMPM[State]=MedicaidStatePMPMs[[#This Row],[State]])*(PMPM[Year]=2020),0))</f>
        <v>N/A</v>
      </c>
      <c r="I451" s="49" t="str" cm="1">
        <f t="array" ref="I451">INDEX(PMPM[Expansion Adults],MATCH(1,(PMPM[State]=MedicaidStatePMPMs[[#This Row],[State]])*(PMPM[Year]=2021),0))</f>
        <v>N/A</v>
      </c>
      <c r="J451" s="49" t="str" cm="1">
        <f t="array" ref="J451">INDEX(PMPM[Expansion Adults],MATCH(1,(PMPM[State]=MedicaidStatePMPMs[[#This Row],[State]])*(PMPM[Year]=2022),0))</f>
        <v>N/A</v>
      </c>
      <c r="K451" s="49" t="str" cm="1">
        <f t="array" ref="K451">INDEX(PMPM[Expansion Adults],MATCH(1,(PMPM[State]=MedicaidStatePMPMs[[#This Row],[State]])*(PMPM[Year]=2023),0))</f>
        <v>N/A</v>
      </c>
      <c r="L451" s="49" t="str" cm="1">
        <f t="array" ref="L451">INDEX(PMPM[Expansion Adults],MATCH(1,(PMPM[State]=MedicaidStatePMPMs[[#This Row],[State]])*(PMPM[Year]=2024),0))</f>
        <v>N/A</v>
      </c>
    </row>
    <row r="452" spans="3:12">
      <c r="C452" t="s">
        <v>36</v>
      </c>
      <c r="D452" t="s">
        <v>172</v>
      </c>
      <c r="E452" t="s">
        <v>171</v>
      </c>
      <c r="G452" s="19" cm="1">
        <f t="array" ref="G452">INDEX(PMPM[Child],MATCH(1,(PMPM[State]=MedicaidStatePMPMs[[#This Row],[State]])*(PMPM[Year]=2019),0))</f>
        <v>323.77</v>
      </c>
      <c r="H452" s="19" cm="1">
        <f t="array" ref="H452">INDEX(PMPM[Child],MATCH(1,(PMPM[State]=MedicaidStatePMPMs[[#This Row],[State]])*(PMPM[Year]=2020),0))</f>
        <v>310.42</v>
      </c>
      <c r="I452" s="19" cm="1">
        <f t="array" ref="I452">INDEX(PMPM[Child],MATCH(1,(PMPM[State]=MedicaidStatePMPMs[[#This Row],[State]])*(PMPM[Year]=2021),0))</f>
        <v>307.33</v>
      </c>
      <c r="J452" s="19" cm="1">
        <f t="array" ref="J452">INDEX(PMPM[Child],MATCH(1,(PMPM[State]=MedicaidStatePMPMs[[#This Row],[State]])*(PMPM[Year]=2022),0))</f>
        <v>319.5</v>
      </c>
      <c r="K452" s="19" cm="1">
        <f t="array" ref="K452">INDEX(PMPM[Child],MATCH(1,(PMPM[State]=MedicaidStatePMPMs[[#This Row],[State]])*(PMPM[Year]=2023),0))</f>
        <v>319.5</v>
      </c>
      <c r="L452" s="19" cm="1">
        <f t="array" ref="L452">INDEX(PMPM[Child],MATCH(1,(PMPM[State]=MedicaidStatePMPMs[[#This Row],[State]])*(PMPM[Year]=2024),0))</f>
        <v>328.75</v>
      </c>
    </row>
    <row r="453" spans="3:12">
      <c r="C453" t="s">
        <v>36</v>
      </c>
      <c r="D453" t="s">
        <v>172</v>
      </c>
      <c r="E453" t="s">
        <v>149</v>
      </c>
      <c r="G453" s="19" cm="1">
        <f t="array" ref="G453">INDEX(PMPM[ Disabled],MATCH(1,(PMPM[State]=MedicaidStatePMPMs[[#This Row],[State]])*(PMPM[Year]=2019),0))</f>
        <v>1482.62</v>
      </c>
      <c r="H453" s="19" cm="1">
        <f t="array" ref="H453">INDEX(PMPM[ Disabled],MATCH(1,(PMPM[State]=MedicaidStatePMPMs[[#This Row],[State]])*(PMPM[Year]=2020),0))</f>
        <v>1421.49</v>
      </c>
      <c r="I453" s="19" cm="1">
        <f t="array" ref="I453">INDEX(PMPM[ Disabled],MATCH(1,(PMPM[State]=MedicaidStatePMPMs[[#This Row],[State]])*(PMPM[Year]=2021),0))</f>
        <v>1407.33</v>
      </c>
      <c r="J453" s="19" cm="1">
        <f t="array" ref="J453">INDEX(PMPM[ Disabled],MATCH(1,(PMPM[State]=MedicaidStatePMPMs[[#This Row],[State]])*(PMPM[Year]=2022),0))</f>
        <v>1463.08</v>
      </c>
      <c r="K453" s="19" cm="1">
        <f t="array" ref="K453">INDEX(PMPM[ Disabled],MATCH(1,(PMPM[State]=MedicaidStatePMPMs[[#This Row],[State]])*(PMPM[Year]=2023),0))</f>
        <v>1462.92</v>
      </c>
      <c r="L453" s="19" cm="1">
        <f t="array" ref="L453">INDEX(PMPM[ Disabled],MATCH(1,(PMPM[State]=MedicaidStatePMPMs[[#This Row],[State]])*(PMPM[Year]=2024),0))</f>
        <v>1505.58</v>
      </c>
    </row>
    <row r="454" spans="3:12">
      <c r="C454" t="s">
        <v>37</v>
      </c>
      <c r="D454" t="s">
        <v>170</v>
      </c>
      <c r="E454" t="s">
        <v>171</v>
      </c>
      <c r="G454" s="19" cm="1">
        <f t="array" ref="G454">INDEX(PMPM[Adults],MATCH(1,(PMPM[State]=MedicaidStatePMPMs[[#This Row],[State]])*(PMPM[Year]=2019),0))</f>
        <v>739.56</v>
      </c>
      <c r="H454" s="19" cm="1">
        <f t="array" ref="H454">INDEX(PMPM[Adults],MATCH(1,(PMPM[State]=MedicaidStatePMPMs[[#This Row],[State]])*(PMPM[Year]=2020),0))</f>
        <v>709.07</v>
      </c>
      <c r="I454" s="19" cm="1">
        <f t="array" ref="I454">INDEX(PMPM[Adults],MATCH(1,(PMPM[State]=MedicaidStatePMPMs[[#This Row],[State]])*(PMPM[Year]=2021),0))</f>
        <v>702</v>
      </c>
      <c r="J454" s="19" cm="1">
        <f t="array" ref="J454">INDEX(PMPM[Adults],MATCH(1,(PMPM[State]=MedicaidStatePMPMs[[#This Row],[State]])*(PMPM[Year]=2022),0))</f>
        <v>729.75</v>
      </c>
      <c r="K454" s="19" cm="1">
        <f t="array" ref="K454">INDEX(PMPM[Adults],MATCH(1,(PMPM[State]=MedicaidStatePMPMs[[#This Row],[State]])*(PMPM[Year]=2023),0))</f>
        <v>729.75</v>
      </c>
      <c r="L454" s="19" cm="1">
        <f t="array" ref="L454">INDEX(PMPM[Adults],MATCH(1,(PMPM[State]=MedicaidStatePMPMs[[#This Row],[State]])*(PMPM[Year]=2024),0))</f>
        <v>751</v>
      </c>
    </row>
    <row r="455" spans="3:12">
      <c r="C455" t="s">
        <v>37</v>
      </c>
      <c r="D455" t="s">
        <v>170</v>
      </c>
      <c r="E455" t="s">
        <v>149</v>
      </c>
      <c r="G455" s="19" cm="1">
        <f t="array" ref="G455">INDEX(PMPM[ Disabled],MATCH(1,(PMPM[State]=MedicaidStatePMPMs[[#This Row],[State]])*(PMPM[Year]=2019),0))</f>
        <v>2331.06</v>
      </c>
      <c r="H455" s="19" cm="1">
        <f t="array" ref="H455">INDEX(PMPM[ Disabled],MATCH(1,(PMPM[State]=MedicaidStatePMPMs[[#This Row],[State]])*(PMPM[Year]=2020),0))</f>
        <v>2234.94</v>
      </c>
      <c r="I455" s="19" cm="1">
        <f t="array" ref="I455">INDEX(PMPM[ Disabled],MATCH(1,(PMPM[State]=MedicaidStatePMPMs[[#This Row],[State]])*(PMPM[Year]=2021),0))</f>
        <v>2212.67</v>
      </c>
      <c r="J455" s="19" cm="1">
        <f t="array" ref="J455">INDEX(PMPM[ Disabled],MATCH(1,(PMPM[State]=MedicaidStatePMPMs[[#This Row],[State]])*(PMPM[Year]=2022),0))</f>
        <v>2300.25</v>
      </c>
      <c r="K455" s="19" cm="1">
        <f t="array" ref="K455">INDEX(PMPM[ Disabled],MATCH(1,(PMPM[State]=MedicaidStatePMPMs[[#This Row],[State]])*(PMPM[Year]=2023),0))</f>
        <v>2300.17</v>
      </c>
      <c r="L455" s="19" cm="1">
        <f t="array" ref="L455">INDEX(PMPM[ Disabled],MATCH(1,(PMPM[State]=MedicaidStatePMPMs[[#This Row],[State]])*(PMPM[Year]=2024),0))</f>
        <v>2367.17</v>
      </c>
    </row>
    <row r="456" spans="3:12">
      <c r="C456" t="s">
        <v>37</v>
      </c>
      <c r="D456" t="s">
        <v>170</v>
      </c>
      <c r="E456" t="s">
        <v>25</v>
      </c>
      <c r="G456" s="49" cm="1">
        <f t="array" ref="G456">INDEX(PMPM[Expansion Adults],MATCH(1,(PMPM[State]=MedicaidStatePMPMs[[#This Row],[State]])*(PMPM[Year]=2019),0))</f>
        <v>248.54</v>
      </c>
      <c r="H456" s="49" cm="1">
        <f t="array" ref="H456">INDEX(PMPM[Expansion Adults],MATCH(1,(PMPM[State]=MedicaidStatePMPMs[[#This Row],[State]])*(PMPM[Year]=2020),0))</f>
        <v>238.29</v>
      </c>
      <c r="I456" s="49" cm="1">
        <f t="array" ref="I456">INDEX(PMPM[Expansion Adults],MATCH(1,(PMPM[State]=MedicaidStatePMPMs[[#This Row],[State]])*(PMPM[Year]=2021),0))</f>
        <v>235.92</v>
      </c>
      <c r="J456" s="49" cm="1">
        <f t="array" ref="J456">INDEX(PMPM[Expansion Adults],MATCH(1,(PMPM[State]=MedicaidStatePMPMs[[#This Row],[State]])*(PMPM[Year]=2022),0))</f>
        <v>245.33</v>
      </c>
      <c r="K456" s="49" cm="1">
        <f t="array" ref="K456">INDEX(PMPM[Expansion Adults],MATCH(1,(PMPM[State]=MedicaidStatePMPMs[[#This Row],[State]])*(PMPM[Year]=2023),0))</f>
        <v>245.25</v>
      </c>
      <c r="L456" s="49" cm="1">
        <f t="array" ref="L456">INDEX(PMPM[Expansion Adults],MATCH(1,(PMPM[State]=MedicaidStatePMPMs[[#This Row],[State]])*(PMPM[Year]=2024),0))</f>
        <v>252.42</v>
      </c>
    </row>
    <row r="457" spans="3:12">
      <c r="C457" t="s">
        <v>37</v>
      </c>
      <c r="D457" t="s">
        <v>172</v>
      </c>
      <c r="E457" t="s">
        <v>171</v>
      </c>
      <c r="G457" s="19" cm="1">
        <f t="array" ref="G457">INDEX(PMPM[Child],MATCH(1,(PMPM[State]=MedicaidStatePMPMs[[#This Row],[State]])*(PMPM[Year]=2019),0))</f>
        <v>326.5</v>
      </c>
      <c r="H457" s="19" cm="1">
        <f t="array" ref="H457">INDEX(PMPM[Child],MATCH(1,(PMPM[State]=MedicaidStatePMPMs[[#This Row],[State]])*(PMPM[Year]=2020),0))</f>
        <v>313.04000000000002</v>
      </c>
      <c r="I457" s="19" cm="1">
        <f t="array" ref="I457">INDEX(PMPM[Child],MATCH(1,(PMPM[State]=MedicaidStatePMPMs[[#This Row],[State]])*(PMPM[Year]=2021),0))</f>
        <v>309.92</v>
      </c>
      <c r="J457" s="19" cm="1">
        <f t="array" ref="J457">INDEX(PMPM[Child],MATCH(1,(PMPM[State]=MedicaidStatePMPMs[[#This Row],[State]])*(PMPM[Year]=2022),0))</f>
        <v>322.17</v>
      </c>
      <c r="K457" s="19" cm="1">
        <f t="array" ref="K457">INDEX(PMPM[Child],MATCH(1,(PMPM[State]=MedicaidStatePMPMs[[#This Row],[State]])*(PMPM[Year]=2023),0))</f>
        <v>322.17</v>
      </c>
      <c r="L457" s="19" cm="1">
        <f t="array" ref="L457">INDEX(PMPM[Child],MATCH(1,(PMPM[State]=MedicaidStatePMPMs[[#This Row],[State]])*(PMPM[Year]=2024),0))</f>
        <v>331.58</v>
      </c>
    </row>
    <row r="458" spans="3:12">
      <c r="C458" t="s">
        <v>37</v>
      </c>
      <c r="D458" t="s">
        <v>172</v>
      </c>
      <c r="E458" t="s">
        <v>149</v>
      </c>
      <c r="G458" s="19" cm="1">
        <f t="array" ref="G458">INDEX(PMPM[ Disabled],MATCH(1,(PMPM[State]=MedicaidStatePMPMs[[#This Row],[State]])*(PMPM[Year]=2019),0))</f>
        <v>2331.06</v>
      </c>
      <c r="H458" s="19" cm="1">
        <f t="array" ref="H458">INDEX(PMPM[ Disabled],MATCH(1,(PMPM[State]=MedicaidStatePMPMs[[#This Row],[State]])*(PMPM[Year]=2020),0))</f>
        <v>2234.94</v>
      </c>
      <c r="I458" s="19" cm="1">
        <f t="array" ref="I458">INDEX(PMPM[ Disabled],MATCH(1,(PMPM[State]=MedicaidStatePMPMs[[#This Row],[State]])*(PMPM[Year]=2021),0))</f>
        <v>2212.67</v>
      </c>
      <c r="J458" s="19" cm="1">
        <f t="array" ref="J458">INDEX(PMPM[ Disabled],MATCH(1,(PMPM[State]=MedicaidStatePMPMs[[#This Row],[State]])*(PMPM[Year]=2022),0))</f>
        <v>2300.25</v>
      </c>
      <c r="K458" s="19" cm="1">
        <f t="array" ref="K458">INDEX(PMPM[ Disabled],MATCH(1,(PMPM[State]=MedicaidStatePMPMs[[#This Row],[State]])*(PMPM[Year]=2023),0))</f>
        <v>2300.17</v>
      </c>
      <c r="L458" s="19" cm="1">
        <f t="array" ref="L458">INDEX(PMPM[ Disabled],MATCH(1,(PMPM[State]=MedicaidStatePMPMs[[#This Row],[State]])*(PMPM[Year]=2024),0))</f>
        <v>2367.17</v>
      </c>
    </row>
    <row r="459" spans="3:12">
      <c r="C459" t="s">
        <v>72</v>
      </c>
      <c r="D459" t="s">
        <v>170</v>
      </c>
      <c r="E459" t="s">
        <v>171</v>
      </c>
      <c r="G459" s="19" cm="1">
        <f t="array" ref="G459">INDEX(PMPM[Adults],MATCH(1,(PMPM[State]=MedicaidStatePMPMs[[#This Row],[State]])*(PMPM[Year]=2019),0))</f>
        <v>668.71</v>
      </c>
      <c r="H459" s="19" cm="1">
        <f t="array" ref="H459">INDEX(PMPM[Adults],MATCH(1,(PMPM[State]=MedicaidStatePMPMs[[#This Row],[State]])*(PMPM[Year]=2020),0))</f>
        <v>641.14</v>
      </c>
      <c r="I459" s="19" cm="1">
        <f t="array" ref="I459">INDEX(PMPM[Adults],MATCH(1,(PMPM[State]=MedicaidStatePMPMs[[#This Row],[State]])*(PMPM[Year]=2021),0))</f>
        <v>634.75</v>
      </c>
      <c r="J459" s="19" cm="1">
        <f t="array" ref="J459">INDEX(PMPM[Adults],MATCH(1,(PMPM[State]=MedicaidStatePMPMs[[#This Row],[State]])*(PMPM[Year]=2022),0))</f>
        <v>659.83</v>
      </c>
      <c r="K459" s="19" cm="1">
        <f t="array" ref="K459">INDEX(PMPM[Adults],MATCH(1,(PMPM[State]=MedicaidStatePMPMs[[#This Row],[State]])*(PMPM[Year]=2023),0))</f>
        <v>659.83</v>
      </c>
      <c r="L459" s="19" cm="1">
        <f t="array" ref="L459">INDEX(PMPM[Adults],MATCH(1,(PMPM[State]=MedicaidStatePMPMs[[#This Row],[State]])*(PMPM[Year]=2024),0))</f>
        <v>679.08</v>
      </c>
    </row>
    <row r="460" spans="3:12">
      <c r="C460" t="s">
        <v>72</v>
      </c>
      <c r="D460" t="s">
        <v>170</v>
      </c>
      <c r="E460" t="s">
        <v>149</v>
      </c>
      <c r="G460" s="19" cm="1">
        <f t="array" ref="G460">INDEX(PMPM[ Disabled],MATCH(1,(PMPM[State]=MedicaidStatePMPMs[[#This Row],[State]])*(PMPM[Year]=2019),0))</f>
        <v>2532.71</v>
      </c>
      <c r="H460" s="19" cm="1">
        <f t="array" ref="H460">INDEX(PMPM[ Disabled],MATCH(1,(PMPM[State]=MedicaidStatePMPMs[[#This Row],[State]])*(PMPM[Year]=2020),0))</f>
        <v>2428.2800000000002</v>
      </c>
      <c r="I460" s="19" cm="1">
        <f t="array" ref="I460">INDEX(PMPM[ Disabled],MATCH(1,(PMPM[State]=MedicaidStatePMPMs[[#This Row],[State]])*(PMPM[Year]=2021),0))</f>
        <v>2404.08</v>
      </c>
      <c r="J460" s="19" cm="1">
        <f t="array" ref="J460">INDEX(PMPM[ Disabled],MATCH(1,(PMPM[State]=MedicaidStatePMPMs[[#This Row],[State]])*(PMPM[Year]=2022),0))</f>
        <v>2499.33</v>
      </c>
      <c r="K460" s="19" cm="1">
        <f t="array" ref="K460">INDEX(PMPM[ Disabled],MATCH(1,(PMPM[State]=MedicaidStatePMPMs[[#This Row],[State]])*(PMPM[Year]=2023),0))</f>
        <v>2499.17</v>
      </c>
      <c r="L460" s="19" cm="1">
        <f t="array" ref="L460">INDEX(PMPM[ Disabled],MATCH(1,(PMPM[State]=MedicaidStatePMPMs[[#This Row],[State]])*(PMPM[Year]=2024),0))</f>
        <v>2572</v>
      </c>
    </row>
    <row r="461" spans="3:12">
      <c r="C461" t="s">
        <v>72</v>
      </c>
      <c r="D461" t="s">
        <v>170</v>
      </c>
      <c r="E461" t="s">
        <v>25</v>
      </c>
      <c r="G461" s="49" cm="1">
        <f t="array" ref="G461">INDEX(PMPM[Expansion Adults],MATCH(1,(PMPM[State]=MedicaidStatePMPMs[[#This Row],[State]])*(PMPM[Year]=2019),0))</f>
        <v>736.13</v>
      </c>
      <c r="H461" s="49" cm="1">
        <f t="array" ref="H461">INDEX(PMPM[Expansion Adults],MATCH(1,(PMPM[State]=MedicaidStatePMPMs[[#This Row],[State]])*(PMPM[Year]=2020),0))</f>
        <v>705.78</v>
      </c>
      <c r="I461" s="49" cm="1">
        <f t="array" ref="I461">INDEX(PMPM[Expansion Adults],MATCH(1,(PMPM[State]=MedicaidStatePMPMs[[#This Row],[State]])*(PMPM[Year]=2021),0))</f>
        <v>698.75</v>
      </c>
      <c r="J461" s="49" cm="1">
        <f t="array" ref="J461">INDEX(PMPM[Expansion Adults],MATCH(1,(PMPM[State]=MedicaidStatePMPMs[[#This Row],[State]])*(PMPM[Year]=2022),0))</f>
        <v>726.5</v>
      </c>
      <c r="K461" s="49" cm="1">
        <f t="array" ref="K461">INDEX(PMPM[Expansion Adults],MATCH(1,(PMPM[State]=MedicaidStatePMPMs[[#This Row],[State]])*(PMPM[Year]=2023),0))</f>
        <v>726.42</v>
      </c>
      <c r="L461" s="49" cm="1">
        <f t="array" ref="L461">INDEX(PMPM[Expansion Adults],MATCH(1,(PMPM[State]=MedicaidStatePMPMs[[#This Row],[State]])*(PMPM[Year]=2024),0))</f>
        <v>747.58</v>
      </c>
    </row>
    <row r="462" spans="3:12">
      <c r="C462" t="s">
        <v>72</v>
      </c>
      <c r="D462" t="s">
        <v>172</v>
      </c>
      <c r="E462" t="s">
        <v>171</v>
      </c>
      <c r="G462" s="19" cm="1">
        <f t="array" ref="G462">INDEX(PMPM[Child],MATCH(1,(PMPM[State]=MedicaidStatePMPMs[[#This Row],[State]])*(PMPM[Year]=2019),0))</f>
        <v>323.25</v>
      </c>
      <c r="H462" s="19" cm="1">
        <f t="array" ref="H462">INDEX(PMPM[Child],MATCH(1,(PMPM[State]=MedicaidStatePMPMs[[#This Row],[State]])*(PMPM[Year]=2020),0))</f>
        <v>309.92</v>
      </c>
      <c r="I462" s="19" cm="1">
        <f t="array" ref="I462">INDEX(PMPM[Child],MATCH(1,(PMPM[State]=MedicaidStatePMPMs[[#This Row],[State]])*(PMPM[Year]=2021),0))</f>
        <v>306.83</v>
      </c>
      <c r="J462" s="19" cm="1">
        <f t="array" ref="J462">INDEX(PMPM[Child],MATCH(1,(PMPM[State]=MedicaidStatePMPMs[[#This Row],[State]])*(PMPM[Year]=2022),0))</f>
        <v>318.92</v>
      </c>
      <c r="K462" s="19" cm="1">
        <f t="array" ref="K462">INDEX(PMPM[Child],MATCH(1,(PMPM[State]=MedicaidStatePMPMs[[#This Row],[State]])*(PMPM[Year]=2023),0))</f>
        <v>318.92</v>
      </c>
      <c r="L462" s="19" cm="1">
        <f t="array" ref="L462">INDEX(PMPM[Child],MATCH(1,(PMPM[State]=MedicaidStatePMPMs[[#This Row],[State]])*(PMPM[Year]=2024),0))</f>
        <v>328.25</v>
      </c>
    </row>
    <row r="463" spans="3:12">
      <c r="C463" t="s">
        <v>72</v>
      </c>
      <c r="D463" t="s">
        <v>172</v>
      </c>
      <c r="E463" t="s">
        <v>149</v>
      </c>
      <c r="G463" s="19" cm="1">
        <f t="array" ref="G463">INDEX(PMPM[ Disabled],MATCH(1,(PMPM[State]=MedicaidStatePMPMs[[#This Row],[State]])*(PMPM[Year]=2019),0))</f>
        <v>2532.71</v>
      </c>
      <c r="H463" s="19" cm="1">
        <f t="array" ref="H463">INDEX(PMPM[ Disabled],MATCH(1,(PMPM[State]=MedicaidStatePMPMs[[#This Row],[State]])*(PMPM[Year]=2020),0))</f>
        <v>2428.2800000000002</v>
      </c>
      <c r="I463" s="19" cm="1">
        <f t="array" ref="I463">INDEX(PMPM[ Disabled],MATCH(1,(PMPM[State]=MedicaidStatePMPMs[[#This Row],[State]])*(PMPM[Year]=2021),0))</f>
        <v>2404.08</v>
      </c>
      <c r="J463" s="19" cm="1">
        <f t="array" ref="J463">INDEX(PMPM[ Disabled],MATCH(1,(PMPM[State]=MedicaidStatePMPMs[[#This Row],[State]])*(PMPM[Year]=2022),0))</f>
        <v>2499.33</v>
      </c>
      <c r="K463" s="19" cm="1">
        <f t="array" ref="K463">INDEX(PMPM[ Disabled],MATCH(1,(PMPM[State]=MedicaidStatePMPMs[[#This Row],[State]])*(PMPM[Year]=2023),0))</f>
        <v>2499.17</v>
      </c>
      <c r="L463" s="19" cm="1">
        <f t="array" ref="L463">INDEX(PMPM[ Disabled],MATCH(1,(PMPM[State]=MedicaidStatePMPMs[[#This Row],[State]])*(PMPM[Year]=2024),0))</f>
        <v>2572</v>
      </c>
    </row>
    <row r="464" spans="3:12">
      <c r="C464" t="s">
        <v>76</v>
      </c>
      <c r="D464" t="s">
        <v>170</v>
      </c>
      <c r="E464" t="s">
        <v>171</v>
      </c>
      <c r="G464" s="19" cm="1">
        <f t="array" ref="G464">INDEX(PMPM[Adults],MATCH(1,(PMPM[State]=MedicaidStatePMPMs[[#This Row],[State]])*(PMPM[Year]=2019),0))</f>
        <v>606.21</v>
      </c>
      <c r="H464" s="19" cm="1">
        <f t="array" ref="H464">INDEX(PMPM[Adults],MATCH(1,(PMPM[State]=MedicaidStatePMPMs[[#This Row],[State]])*(PMPM[Year]=2020),0))</f>
        <v>581.21</v>
      </c>
      <c r="I464" s="19" cm="1">
        <f t="array" ref="I464">INDEX(PMPM[Adults],MATCH(1,(PMPM[State]=MedicaidStatePMPMs[[#This Row],[State]])*(PMPM[Year]=2021),0))</f>
        <v>575.41999999999996</v>
      </c>
      <c r="J464" s="19" cm="1">
        <f t="array" ref="J464">INDEX(PMPM[Adults],MATCH(1,(PMPM[State]=MedicaidStatePMPMs[[#This Row],[State]])*(PMPM[Year]=2022),0))</f>
        <v>598.25</v>
      </c>
      <c r="K464" s="19" cm="1">
        <f t="array" ref="K464">INDEX(PMPM[Adults],MATCH(1,(PMPM[State]=MedicaidStatePMPMs[[#This Row],[State]])*(PMPM[Year]=2023),0))</f>
        <v>598.16999999999996</v>
      </c>
      <c r="L464" s="19" cm="1">
        <f t="array" ref="L464">INDEX(PMPM[Adults],MATCH(1,(PMPM[State]=MedicaidStatePMPMs[[#This Row],[State]])*(PMPM[Year]=2024),0))</f>
        <v>615.58000000000004</v>
      </c>
    </row>
    <row r="465" spans="2:15">
      <c r="C465" t="s">
        <v>76</v>
      </c>
      <c r="D465" t="s">
        <v>170</v>
      </c>
      <c r="E465" t="s">
        <v>149</v>
      </c>
      <c r="G465" s="19" cm="1">
        <f t="array" ref="G465">INDEX(PMPM[ Disabled],MATCH(1,(PMPM[State]=MedicaidStatePMPMs[[#This Row],[State]])*(PMPM[Year]=2019),0))</f>
        <v>1517.66</v>
      </c>
      <c r="H465" s="19" cm="1">
        <f t="array" ref="H465">INDEX(PMPM[ Disabled],MATCH(1,(PMPM[State]=MedicaidStatePMPMs[[#This Row],[State]])*(PMPM[Year]=2020),0))</f>
        <v>1455.08</v>
      </c>
      <c r="I465" s="19" cm="1">
        <f t="array" ref="I465">INDEX(PMPM[ Disabled],MATCH(1,(PMPM[State]=MedicaidStatePMPMs[[#This Row],[State]])*(PMPM[Year]=2021),0))</f>
        <v>1440.58</v>
      </c>
      <c r="J465" s="19" cm="1">
        <f t="array" ref="J465">INDEX(PMPM[ Disabled],MATCH(1,(PMPM[State]=MedicaidStatePMPMs[[#This Row],[State]])*(PMPM[Year]=2022),0))</f>
        <v>1497.58</v>
      </c>
      <c r="K465" s="19" cm="1">
        <f t="array" ref="K465">INDEX(PMPM[ Disabled],MATCH(1,(PMPM[State]=MedicaidStatePMPMs[[#This Row],[State]])*(PMPM[Year]=2023),0))</f>
        <v>1497.5</v>
      </c>
      <c r="L465" s="19" cm="1">
        <f t="array" ref="L465">INDEX(PMPM[ Disabled],MATCH(1,(PMPM[State]=MedicaidStatePMPMs[[#This Row],[State]])*(PMPM[Year]=2024),0))</f>
        <v>1541.17</v>
      </c>
    </row>
    <row r="466" spans="2:15">
      <c r="C466" t="s">
        <v>76</v>
      </c>
      <c r="D466" t="s">
        <v>170</v>
      </c>
      <c r="E466" t="s">
        <v>25</v>
      </c>
      <c r="G466" s="49" cm="1">
        <f t="array" ref="G466">INDEX(PMPM[Expansion Adults],MATCH(1,(PMPM[State]=MedicaidStatePMPMs[[#This Row],[State]])*(PMPM[Year]=2019),0))</f>
        <v>570.47</v>
      </c>
      <c r="H466" s="49" cm="1">
        <f t="array" ref="H466">INDEX(PMPM[Expansion Adults],MATCH(1,(PMPM[State]=MedicaidStatePMPMs[[#This Row],[State]])*(PMPM[Year]=2020),0))</f>
        <v>546.95000000000005</v>
      </c>
      <c r="I466" s="49" cm="1">
        <f t="array" ref="I466">INDEX(PMPM[Expansion Adults],MATCH(1,(PMPM[State]=MedicaidStatePMPMs[[#This Row],[State]])*(PMPM[Year]=2021),0))</f>
        <v>541.5</v>
      </c>
      <c r="J466" s="49" cm="1">
        <f t="array" ref="J466">INDEX(PMPM[Expansion Adults],MATCH(1,(PMPM[State]=MedicaidStatePMPMs[[#This Row],[State]])*(PMPM[Year]=2022),0))</f>
        <v>562.91999999999996</v>
      </c>
      <c r="K466" s="49" cm="1">
        <f t="array" ref="K466">INDEX(PMPM[Expansion Adults],MATCH(1,(PMPM[State]=MedicaidStatePMPMs[[#This Row],[State]])*(PMPM[Year]=2023),0))</f>
        <v>562.91999999999996</v>
      </c>
      <c r="L466" s="49" cm="1">
        <f t="array" ref="L466">INDEX(PMPM[Expansion Adults],MATCH(1,(PMPM[State]=MedicaidStatePMPMs[[#This Row],[State]])*(PMPM[Year]=2024),0))</f>
        <v>579.33000000000004</v>
      </c>
    </row>
    <row r="467" spans="2:15">
      <c r="C467" t="s">
        <v>76</v>
      </c>
      <c r="D467" t="s">
        <v>172</v>
      </c>
      <c r="E467" t="s">
        <v>171</v>
      </c>
      <c r="G467" s="19" cm="1">
        <f t="array" ref="G467">INDEX(PMPM[Child],MATCH(1,(PMPM[State]=MedicaidStatePMPMs[[#This Row],[State]])*(PMPM[Year]=2019),0))</f>
        <v>308.94</v>
      </c>
      <c r="H467" s="19" cm="1">
        <f t="array" ref="H467">INDEX(PMPM[Child],MATCH(1,(PMPM[State]=MedicaidStatePMPMs[[#This Row],[State]])*(PMPM[Year]=2020),0))</f>
        <v>296.2</v>
      </c>
      <c r="I467" s="19" cm="1">
        <f t="array" ref="I467">INDEX(PMPM[Child],MATCH(1,(PMPM[State]=MedicaidStatePMPMs[[#This Row],[State]])*(PMPM[Year]=2021),0))</f>
        <v>293.25</v>
      </c>
      <c r="J467" s="19" cm="1">
        <f t="array" ref="J467">INDEX(PMPM[Child],MATCH(1,(PMPM[State]=MedicaidStatePMPMs[[#This Row],[State]])*(PMPM[Year]=2022),0))</f>
        <v>304.83</v>
      </c>
      <c r="K467" s="19" cm="1">
        <f t="array" ref="K467">INDEX(PMPM[Child],MATCH(1,(PMPM[State]=MedicaidStatePMPMs[[#This Row],[State]])*(PMPM[Year]=2023),0))</f>
        <v>304.83</v>
      </c>
      <c r="L467" s="19" cm="1">
        <f t="array" ref="L467">INDEX(PMPM[Child],MATCH(1,(PMPM[State]=MedicaidStatePMPMs[[#This Row],[State]])*(PMPM[Year]=2024),0))</f>
        <v>313.75</v>
      </c>
    </row>
    <row r="468" spans="2:15">
      <c r="C468" t="s">
        <v>76</v>
      </c>
      <c r="D468" t="s">
        <v>172</v>
      </c>
      <c r="E468" t="s">
        <v>149</v>
      </c>
      <c r="G468" s="19" cm="1">
        <f t="array" ref="G468">INDEX(PMPM[ Disabled],MATCH(1,(PMPM[State]=MedicaidStatePMPMs[[#This Row],[State]])*(PMPM[Year]=2019),0))</f>
        <v>1517.66</v>
      </c>
      <c r="H468" s="19" cm="1">
        <f t="array" ref="H468">INDEX(PMPM[ Disabled],MATCH(1,(PMPM[State]=MedicaidStatePMPMs[[#This Row],[State]])*(PMPM[Year]=2020),0))</f>
        <v>1455.08</v>
      </c>
      <c r="I468" s="19" cm="1">
        <f t="array" ref="I468">INDEX(PMPM[ Disabled],MATCH(1,(PMPM[State]=MedicaidStatePMPMs[[#This Row],[State]])*(PMPM[Year]=2021),0))</f>
        <v>1440.58</v>
      </c>
      <c r="J468" s="19" cm="1">
        <f t="array" ref="J468">INDEX(PMPM[ Disabled],MATCH(1,(PMPM[State]=MedicaidStatePMPMs[[#This Row],[State]])*(PMPM[Year]=2022),0))</f>
        <v>1497.58</v>
      </c>
      <c r="K468" s="19" cm="1">
        <f t="array" ref="K468">INDEX(PMPM[ Disabled],MATCH(1,(PMPM[State]=MedicaidStatePMPMs[[#This Row],[State]])*(PMPM[Year]=2023),0))</f>
        <v>1497.5</v>
      </c>
      <c r="L468" s="19" cm="1">
        <f t="array" ref="L468">INDEX(PMPM[ Disabled],MATCH(1,(PMPM[State]=MedicaidStatePMPMs[[#This Row],[State]])*(PMPM[Year]=2024),0))</f>
        <v>1541.17</v>
      </c>
    </row>
    <row r="470" spans="2:15">
      <c r="B470" s="2" t="s">
        <v>105</v>
      </c>
    </row>
    <row r="472" spans="2:15">
      <c r="C472" s="14"/>
    </row>
    <row r="473" spans="2:15">
      <c r="C473" s="14" t="s">
        <v>106</v>
      </c>
      <c r="D473" t="s">
        <v>175</v>
      </c>
    </row>
    <row r="474" spans="2:15">
      <c r="C474" s="14" t="s">
        <v>108</v>
      </c>
      <c r="D474" s="14" t="s">
        <v>109</v>
      </c>
      <c r="E474" t="s">
        <v>31</v>
      </c>
      <c r="F474" t="s">
        <v>110</v>
      </c>
      <c r="H474" t="s">
        <v>122</v>
      </c>
      <c r="I474" t="s">
        <v>12</v>
      </c>
    </row>
    <row r="475" spans="2:15">
      <c r="D475" s="14" t="s">
        <v>176</v>
      </c>
      <c r="E475">
        <v>19</v>
      </c>
      <c r="F475" t="s">
        <v>177</v>
      </c>
    </row>
    <row r="476" spans="2:15">
      <c r="D476" s="14" t="s">
        <v>178</v>
      </c>
      <c r="E476" s="7" t="str">
        <f>IF(E475&lt;20,"Child","Adult")</f>
        <v>Child</v>
      </c>
      <c r="H476" t="s">
        <v>172</v>
      </c>
      <c r="I476" t="s">
        <v>149</v>
      </c>
    </row>
    <row r="477" spans="2:15">
      <c r="D477" s="14" t="s">
        <v>179</v>
      </c>
      <c r="E477" t="s">
        <v>171</v>
      </c>
      <c r="H477" t="s">
        <v>170</v>
      </c>
      <c r="I477" t="s">
        <v>171</v>
      </c>
      <c r="L477" t="s">
        <v>1</v>
      </c>
      <c r="M477" t="s">
        <v>1</v>
      </c>
      <c r="N477" t="s">
        <v>180</v>
      </c>
    </row>
    <row r="478" spans="2:15">
      <c r="D478" s="14" t="s">
        <v>112</v>
      </c>
      <c r="E478">
        <v>2020</v>
      </c>
      <c r="H478" t="s">
        <v>181</v>
      </c>
      <c r="L478" t="s">
        <v>150</v>
      </c>
      <c r="M478" t="s">
        <v>151</v>
      </c>
      <c r="N478" t="s">
        <v>150</v>
      </c>
    </row>
    <row r="479" spans="2:15">
      <c r="B479" s="2" t="s">
        <v>182</v>
      </c>
      <c r="D479" s="15" t="s">
        <v>113</v>
      </c>
      <c r="E479">
        <f t="array" ref="E479">INDEX(MedicaidStatePMPMs[],MATCH(1,(MedicaidStatePMPMs[State]=E474)*(MedicaidStatePMPMs[Group]=E476)*(MedicaidStatePMPMs[Category]=E477),0),MATCH(E478,VALUE(MedicaidStatePMPMs[#Headers]),0))</f>
        <v>209</v>
      </c>
      <c r="J479" t="s">
        <v>183</v>
      </c>
      <c r="K479" s="31">
        <v>941652</v>
      </c>
    </row>
    <row r="480" spans="2:15">
      <c r="B480" s="2"/>
      <c r="J480" t="s">
        <v>184</v>
      </c>
      <c r="K480" s="31">
        <v>905806</v>
      </c>
      <c r="L480" s="31">
        <f>K482-K481</f>
        <v>370065</v>
      </c>
      <c r="M480" s="31">
        <f>K480-L480</f>
        <v>535741</v>
      </c>
      <c r="N480" s="31">
        <f>K481</f>
        <v>35846</v>
      </c>
      <c r="O480" s="31">
        <f>SUM(L480:N480)</f>
        <v>941652</v>
      </c>
    </row>
    <row r="481" spans="3:12">
      <c r="J481" t="s">
        <v>185</v>
      </c>
      <c r="K481" s="31">
        <v>35846</v>
      </c>
    </row>
    <row r="482" spans="3:12">
      <c r="C482" t="s">
        <v>186</v>
      </c>
      <c r="J482" t="s">
        <v>187</v>
      </c>
      <c r="K482" s="31">
        <v>405911</v>
      </c>
      <c r="L482" s="31"/>
    </row>
    <row r="483" spans="3:12">
      <c r="D483" t="s">
        <v>188</v>
      </c>
      <c r="E483" t="s">
        <v>189</v>
      </c>
      <c r="F483" t="s">
        <v>190</v>
      </c>
    </row>
    <row r="484" spans="3:12">
      <c r="D484" s="32" t="s">
        <v>172</v>
      </c>
      <c r="E484" s="32" t="s">
        <v>149</v>
      </c>
      <c r="F484" t="s">
        <v>149</v>
      </c>
    </row>
    <row r="485" spans="3:12">
      <c r="D485" s="33" t="s">
        <v>172</v>
      </c>
      <c r="E485" s="33" t="s">
        <v>171</v>
      </c>
      <c r="F485" t="s">
        <v>150</v>
      </c>
    </row>
    <row r="486" spans="3:12">
      <c r="D486" s="32" t="s">
        <v>170</v>
      </c>
      <c r="E486" s="32" t="s">
        <v>171</v>
      </c>
      <c r="F486" t="s">
        <v>151</v>
      </c>
    </row>
    <row r="487" spans="3:12">
      <c r="D487" s="33" t="s">
        <v>181</v>
      </c>
      <c r="E487" s="33" t="s">
        <v>149</v>
      </c>
      <c r="F487" t="s">
        <v>149</v>
      </c>
    </row>
    <row r="489" spans="3:12">
      <c r="C489" t="s">
        <v>191</v>
      </c>
      <c r="D489" t="s">
        <v>192</v>
      </c>
    </row>
    <row r="490" spans="3:12">
      <c r="C490" t="s">
        <v>193</v>
      </c>
      <c r="D490" t="s">
        <v>159</v>
      </c>
    </row>
    <row r="491" spans="3:12">
      <c r="C491" t="s">
        <v>194</v>
      </c>
      <c r="D491" t="s">
        <v>175</v>
      </c>
    </row>
    <row r="492" spans="3:12">
      <c r="C492" t="s">
        <v>195</v>
      </c>
      <c r="D492" t="s">
        <v>196</v>
      </c>
    </row>
    <row r="494" spans="3:12">
      <c r="C494" s="14" t="s">
        <v>106</v>
      </c>
      <c r="D494" t="s">
        <v>175</v>
      </c>
    </row>
    <row r="495" spans="3:12">
      <c r="C495" s="14" t="s">
        <v>108</v>
      </c>
      <c r="D495" s="14" t="s">
        <v>109</v>
      </c>
      <c r="E495" t="s">
        <v>31</v>
      </c>
      <c r="F495" t="s">
        <v>110</v>
      </c>
      <c r="H495" t="s">
        <v>122</v>
      </c>
      <c r="I495" t="s">
        <v>12</v>
      </c>
    </row>
    <row r="496" spans="3:12">
      <c r="D496" s="14" t="s">
        <v>178</v>
      </c>
      <c r="E496" t="s">
        <v>172</v>
      </c>
      <c r="H496" t="s">
        <v>172</v>
      </c>
      <c r="I496" t="s">
        <v>149</v>
      </c>
    </row>
    <row r="497" spans="2:9">
      <c r="D497" s="14" t="s">
        <v>179</v>
      </c>
      <c r="E497" t="s">
        <v>171</v>
      </c>
      <c r="H497" t="s">
        <v>170</v>
      </c>
      <c r="I497" t="s">
        <v>171</v>
      </c>
    </row>
    <row r="498" spans="2:9">
      <c r="D498" s="14" t="s">
        <v>112</v>
      </c>
      <c r="E498">
        <v>2019</v>
      </c>
      <c r="H498" t="s">
        <v>181</v>
      </c>
    </row>
    <row r="499" spans="2:9">
      <c r="B499" t="s">
        <v>197</v>
      </c>
      <c r="D499" s="15" t="s">
        <v>113</v>
      </c>
      <c r="E499" s="27">
        <f t="array" ref="E499">IF(ISBLANK(INDEX(MedicaidStatePMPMs[],MATCH(1,(MedicaidStatePMPMs[State]=E495)*(MedicaidStatePMPMs[Group]=E496)*(MedicaidStatePMPMs[Category]=E497),0),MATCH(E498,VALUE(MedicaidStatePMPMs[#Headers]),0))),INDEX(MedicaidNationalPMPMs[],MATCH(IF(E497 = "Disabled", "Disabled", IF(E496 = "child", "children", "adults")),MedicaidNationalPMPMs[Group],0),MATCH(E498,VALUE(MedicaidNationalPMPMs[#Headers]),0)),INDEX(MedicaidStatePMPMs[],MATCH(1,(MedicaidStatePMPMs[State]=E495)*(MedicaidStatePMPMs[Group]=E496)*(MedicaidStatePMPMs[Category]=E497),0),MATCH(E498,VALUE(MedicaidStatePMPMs[#Headers]),0)))</f>
        <v>217.99</v>
      </c>
    </row>
    <row r="500" spans="2:9">
      <c r="C500" t="s">
        <v>198</v>
      </c>
    </row>
    <row r="503" spans="2:9">
      <c r="C503" t="s">
        <v>33</v>
      </c>
      <c r="D503" t="s">
        <v>199</v>
      </c>
      <c r="E503" s="28" t="s">
        <v>200</v>
      </c>
    </row>
  </sheetData>
  <phoneticPr fontId="13" type="noConversion"/>
  <dataValidations count="7">
    <dataValidation type="list" allowBlank="1" showInputMessage="1" showErrorMessage="1" sqref="E477" xr:uid="{FA2C8649-CD0E-43BD-9DF1-B04E9FD86DAD}">
      <formula1>$I$476:$I$477</formula1>
    </dataValidation>
    <dataValidation type="list" allowBlank="1" showInputMessage="1" showErrorMessage="1" sqref="E497" xr:uid="{C99AD4A6-20B7-48D0-B66D-11B8DA5D2EFA}">
      <formula1>$I$496:$I$497</formula1>
    </dataValidation>
    <dataValidation type="list" allowBlank="1" showInputMessage="1" showErrorMessage="1" sqref="E496" xr:uid="{EC339243-DD45-4033-84C0-52964FCCEDA4}">
      <formula1>$H$496:$H$498</formula1>
    </dataValidation>
    <dataValidation type="list" allowBlank="1" showInputMessage="1" showErrorMessage="1" sqref="E476" xr:uid="{94343282-C786-4186-B7F4-76AE89F6CED0}">
      <formula1>$H$476:$H$478</formula1>
    </dataValidation>
    <dataValidation type="list" allowBlank="1" showInputMessage="1" showErrorMessage="1" sqref="E390" xr:uid="{DB495550-B6BA-4494-AACA-49E9FF9B9126}">
      <formula1>$C$377:$C$382</formula1>
    </dataValidation>
    <dataValidation type="list" allowBlank="1" showInputMessage="1" showErrorMessage="1" sqref="E361" xr:uid="{3A218173-C8B0-4E90-9B5E-4D3E3C2D5DFF}">
      <formula1>$D$347:$D$355</formula1>
    </dataValidation>
    <dataValidation type="list" allowBlank="1" showInputMessage="1" showErrorMessage="1" sqref="E360 E474 E495" xr:uid="{CBD506A6-2385-42CD-B00C-DA22B23BD7DE}">
      <formula1>State_List</formula1>
    </dataValidation>
  </dataValidations>
  <hyperlinks>
    <hyperlink ref="E503" r:id="rId1" xr:uid="{399EBD94-C976-48AB-9EC3-52AEB416B42A}"/>
    <hyperlink ref="C399" r:id="rId2" xr:uid="{DD3BC9EF-8FED-4C10-8156-7F6DD6828AE5}"/>
    <hyperlink ref="C400" r:id="rId3" xr:uid="{2B1A8D9A-449E-42E3-8BA4-17171E695CA9}"/>
    <hyperlink ref="C277" r:id="rId4" location="footnote5" display="https://www.medicaid.gov/medicaid/national-medicaid-chip-program-information/medicaid-childrens-health-insurance-program-basic-health-program-eligibility-levels/index.html#footnote5" xr:uid="{A7184B88-E4A3-496F-A03C-DD61DC37CD1C}"/>
    <hyperlink ref="C287" r:id="rId5" location="footnote5" display="https://www.medicaid.gov/medicaid/national-medicaid-chip-program-information/medicaid-childrens-health-insurance-program-basic-health-program-eligibility-levels/index.html#footnote5" xr:uid="{DE6CBF45-77B0-4746-B24A-9845A18BB5ED}"/>
    <hyperlink ref="L309" r:id="rId6" location="footnote8" display="https://www.medicaid.gov/medicaid/national-medicaid-chip-program-information/medicaid-childrens-health-insurance-program-basic-health-program-eligibility-levels/index.html#footnote8" xr:uid="{32236E4E-0F7D-4D1E-9DBC-706B73A3AA14}"/>
    <hyperlink ref="L325" r:id="rId7" location="footnote9" display="https://www.medicaid.gov/medicaid/national-medicaid-chip-program-information/medicaid-childrens-health-insurance-program-basic-health-program-eligibility-levels/index.html#footnote9" xr:uid="{F4709C60-CF55-4349-836B-E93904E9F6EC}"/>
    <hyperlink ref="C121" r:id="rId8" location="footnote5" display="https://www.medicaid.gov/medicaid/national-medicaid-chip-program-information/medicaid-childrens-health-insurance-program-basic-health-program-eligibility-levels/index.html#footnote5" xr:uid="{3C4DCB28-91C7-45B2-B52F-3746562F7B6E}"/>
    <hyperlink ref="C131" r:id="rId9" location="footnote5" display="https://www.medicaid.gov/medicaid/national-medicaid-chip-program-information/medicaid-childrens-health-insurance-program-basic-health-program-eligibility-levels/index.html#footnote5" xr:uid="{79695DF1-4D47-4537-BA73-F851E0124F2E}"/>
    <hyperlink ref="L153" r:id="rId10" location="footnote8" display="https://www.medicaid.gov/medicaid/national-medicaid-chip-program-information/medicaid-childrens-health-insurance-program-basic-health-program-eligibility-levels/index.html#footnote8" xr:uid="{D48DB26C-FF7E-4205-ACF6-7D9B62E66592}"/>
    <hyperlink ref="L160" r:id="rId11" location="footnote9" display="https://www.medicaid.gov/medicaid/national-medicaid-chip-program-information/medicaid-childrens-health-insurance-program-basic-health-program-eligibility-levels/index.html#footnote9" xr:uid="{A00FE6F7-354C-4209-8FE9-28CCFEAB8F92}"/>
    <hyperlink ref="L169" r:id="rId12" location="footnote9" display="https://www.medicaid.gov/medicaid/national-medicaid-chip-program-information/medicaid-childrens-health-insurance-program-basic-health-program-eligibility-levels/index.html#footnote9" xr:uid="{F8F351FE-6ECD-44C8-BCF0-B0DABBB5D27E}"/>
    <hyperlink ref="C17" r:id="rId13" location="footnote5" display="https://www.medicaid.gov/medicaid/national-medicaid-chip-program-information/medicaid-childrens-health-insurance-program-basic-health-program-eligibility-levels/index.html#footnote5" xr:uid="{C0B28B7E-6F33-4A1D-92FB-6BABC9800DB3}"/>
    <hyperlink ref="C27" r:id="rId14" location="footnote5" display="https://www.medicaid.gov/medicaid/national-medicaid-chip-program-information/medicaid-childrens-health-insurance-program-basic-health-program-eligibility-levels/index.html#footnote5" xr:uid="{B4E15449-1043-4C8D-882B-C5BA051476A9}"/>
    <hyperlink ref="L49" r:id="rId15" location="footnote8" display="https://www.medicaid.gov/medicaid/national-medicaid-chip-program-information/medicaid-childrens-health-insurance-program-basic-health-program-eligibility-levels/index.html#footnote8" xr:uid="{69E73E89-D8DF-47D1-8CFA-2219F761DF1C}"/>
    <hyperlink ref="L56" r:id="rId16" location="footnote9" display="https://www.medicaid.gov/medicaid/national-medicaid-chip-program-information/medicaid-childrens-health-insurance-program-basic-health-program-eligibility-levels/index.html#footnote9" xr:uid="{510D8F65-CF15-4830-A9E8-7D5ECB4FB355}"/>
    <hyperlink ref="L65" r:id="rId17" location="footnote9" display="https://www.medicaid.gov/medicaid/national-medicaid-chip-program-information/medicaid-childrens-health-insurance-program-basic-health-program-eligibility-levels/index.html#footnote9" xr:uid="{07853A08-E99E-4688-A161-679FF6D5AEF4}"/>
    <hyperlink ref="C225" r:id="rId18" location="footnote5" display="https://www.medicaid.gov/medicaid/national-medicaid-chip-program-information/medicaid-childrens-health-insurance-program-basic-health-program-eligibility-levels/index.html#footnote5" xr:uid="{C9E0C00B-AD25-46BB-9A23-72F8C602EFE1}"/>
    <hyperlink ref="C235" r:id="rId19" location="footnote5" display="https://www.medicaid.gov/medicaid/national-medicaid-chip-program-information/medicaid-childrens-health-insurance-program-basic-health-program-eligibility-levels/index.html#footnote5" xr:uid="{5BAB6F49-B6AB-4780-AA51-25710F86542A}"/>
    <hyperlink ref="L257" r:id="rId20" location="footnote8" display="https://www.medicaid.gov/medicaid/national-medicaid-chip-program-information/medicaid-childrens-health-insurance-program-basic-health-program-eligibility-levels/index.html#footnote8" xr:uid="{9FC0572B-5E2A-4D40-A4BE-5A54E30496F3}"/>
    <hyperlink ref="L264" r:id="rId21" location="footnote9" display="https://www.medicaid.gov/medicaid/national-medicaid-chip-program-information/medicaid-childrens-health-insurance-program-basic-health-program-eligibility-levels/index.html#footnote9" xr:uid="{EE776DF6-7809-49EC-A8EF-F50EA7EFEF37}"/>
    <hyperlink ref="L273" r:id="rId22" location="footnote9" display="https://www.medicaid.gov/medicaid/national-medicaid-chip-program-information/medicaid-childrens-health-insurance-program-basic-health-program-eligibility-levels/index.html#footnote9" xr:uid="{0CC1BA38-B8AA-408A-A586-F507ED551B80}"/>
    <hyperlink ref="L316" r:id="rId23" location="footnote9" display="https://www.medicaid.gov/medicaid/national-medicaid-chip-program-information/medicaid-childrens-health-insurance-program-basic-health-program-eligibility-levels/index.html#footnote9" xr:uid="{3EF46B24-D267-434E-B72E-6A2B81F4B49D}"/>
  </hyperlinks>
  <pageMargins left="0.7" right="0.7" top="0.75" bottom="0.75" header="0.3" footer="0.3"/>
  <pageSetup orientation="portrait" r:id="rId24"/>
  <legacyDrawing r:id="rId25"/>
  <tableParts count="3">
    <tablePart r:id="rId26"/>
    <tablePart r:id="rId27"/>
    <tablePart r:id="rId2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85F28-13DE-4E74-9746-79E0A2330E27}">
  <sheetPr codeName="Sheet2"/>
  <dimension ref="A1:O313"/>
  <sheetViews>
    <sheetView workbookViewId="0">
      <selection activeCell="A2" sqref="A2:H105"/>
    </sheetView>
  </sheetViews>
  <sheetFormatPr defaultRowHeight="14.5"/>
  <cols>
    <col min="1" max="1" width="17.36328125" style="56" bestFit="1" customWidth="1"/>
    <col min="2" max="2" width="17.36328125" style="57" customWidth="1"/>
    <col min="3" max="4" width="8.7265625" style="60"/>
    <col min="5" max="5" width="16" style="60" customWidth="1"/>
    <col min="6" max="6" width="8.7265625" style="60"/>
    <col min="7" max="7" width="9.90625" style="60" customWidth="1"/>
    <col min="8" max="8" width="8.7265625" style="60"/>
    <col min="9" max="16384" width="8.7265625" style="56"/>
  </cols>
  <sheetData>
    <row r="1" spans="1:8">
      <c r="A1" s="54" t="s">
        <v>11</v>
      </c>
      <c r="B1" s="55" t="s">
        <v>201</v>
      </c>
      <c r="C1" s="58" t="s">
        <v>211</v>
      </c>
      <c r="D1" s="58" t="s">
        <v>172</v>
      </c>
      <c r="E1" s="59" t="s">
        <v>215</v>
      </c>
      <c r="F1" s="58" t="s">
        <v>151</v>
      </c>
      <c r="G1" s="58" t="s">
        <v>212</v>
      </c>
      <c r="H1" s="58" t="s">
        <v>213</v>
      </c>
    </row>
    <row r="2" spans="1:8">
      <c r="A2" s="56" t="s">
        <v>214</v>
      </c>
      <c r="B2" s="57">
        <v>2019</v>
      </c>
      <c r="C2" s="60">
        <f>ROUND(C54/'BLS Data'!$AJ$20,2)</f>
        <v>809.61</v>
      </c>
      <c r="D2" s="60">
        <f>ROUND(D54/'BLS Data'!$AJ$20,2)</f>
        <v>316.83999999999997</v>
      </c>
      <c r="E2" s="60">
        <f>ROUND(E54/'BLS Data'!$AJ$20,2)</f>
        <v>662.48</v>
      </c>
      <c r="F2" s="60">
        <f>ROUND(F54/'BLS Data'!$AJ$20,2)</f>
        <v>563.71</v>
      </c>
      <c r="G2" s="60">
        <f>ROUND(G54/'BLS Data'!$AJ$20,2)</f>
        <v>2361.4299999999998</v>
      </c>
      <c r="H2" s="60">
        <f>ROUND(H54/'BLS Data'!$AJ$20,2)</f>
        <v>2139.4899999999998</v>
      </c>
    </row>
    <row r="3" spans="1:8">
      <c r="A3" s="56" t="s">
        <v>19</v>
      </c>
      <c r="B3" s="57">
        <v>2019</v>
      </c>
      <c r="C3" s="60">
        <f>ROUND(C55/'BLS Data'!$AJ$20,2)</f>
        <v>604.27</v>
      </c>
      <c r="D3" s="60">
        <f>ROUND(D55/'BLS Data'!$AJ$20,2)</f>
        <v>233.01</v>
      </c>
      <c r="E3" s="61" t="s">
        <v>210</v>
      </c>
      <c r="F3" s="60">
        <f>ROUND(F55/'BLS Data'!$AJ$20,2)</f>
        <v>444.05</v>
      </c>
      <c r="G3" s="60">
        <f>ROUND(G55/'BLS Data'!$AJ$20,2)</f>
        <v>1540.14</v>
      </c>
      <c r="H3" s="60">
        <f>ROUND(H55/'BLS Data'!$AJ$20,2)</f>
        <v>2139.4899999999998</v>
      </c>
    </row>
    <row r="4" spans="1:8">
      <c r="A4" s="56" t="s">
        <v>38</v>
      </c>
      <c r="B4" s="57">
        <v>2019</v>
      </c>
      <c r="C4" s="60">
        <f>ROUND(C56/'BLS Data'!$AJ$20,2)</f>
        <v>801.46</v>
      </c>
      <c r="D4" s="60">
        <f>ROUND(D56/'BLS Data'!$AJ$20,2)</f>
        <v>450.9</v>
      </c>
      <c r="E4" s="60">
        <f>ROUND(E56/'BLS Data'!$AJ$20,2)</f>
        <v>724.02</v>
      </c>
      <c r="F4" s="60">
        <f>ROUND(F56/'BLS Data'!$AJ$20,2)</f>
        <v>625.87</v>
      </c>
      <c r="G4" s="60">
        <f>ROUND(G56/'BLS Data'!$AJ$20,2)</f>
        <v>2885.2</v>
      </c>
      <c r="H4" s="60">
        <f>ROUND(H56/'BLS Data'!$AJ$20,2)</f>
        <v>2010.88</v>
      </c>
    </row>
    <row r="5" spans="1:8">
      <c r="A5" s="56" t="s">
        <v>39</v>
      </c>
      <c r="B5" s="57">
        <v>2019</v>
      </c>
      <c r="C5" s="60">
        <f>ROUND(C57/'BLS Data'!$AJ$20,2)</f>
        <v>787.15</v>
      </c>
      <c r="D5" s="60">
        <f>ROUND(D57/'BLS Data'!$AJ$20,2)</f>
        <v>316.23</v>
      </c>
      <c r="E5" s="60">
        <f>ROUND(E57/'BLS Data'!$AJ$20,2)</f>
        <v>848.25</v>
      </c>
      <c r="F5" s="60">
        <f>ROUND(F57/'BLS Data'!$AJ$20,2)</f>
        <v>611.47</v>
      </c>
      <c r="G5" s="60">
        <f>ROUND(G57/'BLS Data'!$AJ$20,2)</f>
        <v>2793.45</v>
      </c>
      <c r="H5" s="60">
        <f>ROUND(H57/'BLS Data'!$AJ$20,2)</f>
        <v>1101.6099999999999</v>
      </c>
    </row>
    <row r="6" spans="1:8">
      <c r="A6" s="56" t="s">
        <v>28</v>
      </c>
      <c r="B6" s="57">
        <v>2019</v>
      </c>
      <c r="C6" s="60">
        <f>ROUND(C58/'BLS Data'!$AJ$20,2)</f>
        <v>692.68</v>
      </c>
      <c r="D6" s="60">
        <f>ROUND(D58/'BLS Data'!$AJ$20,2)</f>
        <v>358.37</v>
      </c>
      <c r="E6" s="60">
        <f>ROUND(E58/'BLS Data'!$AJ$20,2)</f>
        <v>634.47</v>
      </c>
      <c r="F6" s="60">
        <f>ROUND(F58/'BLS Data'!$AJ$20,2)</f>
        <v>525.61</v>
      </c>
      <c r="G6" s="60">
        <f>ROUND(G58/'BLS Data'!$AJ$20,2)</f>
        <v>1651.02</v>
      </c>
      <c r="H6" s="60">
        <f>ROUND(H58/'BLS Data'!$AJ$20,2)</f>
        <v>1929.05</v>
      </c>
    </row>
    <row r="7" spans="1:8">
      <c r="A7" s="56" t="s">
        <v>40</v>
      </c>
      <c r="B7" s="57">
        <v>2019</v>
      </c>
      <c r="C7" s="60">
        <f>ROUND(C59/'BLS Data'!$AJ$20,2)</f>
        <v>777.49</v>
      </c>
      <c r="D7" s="60">
        <f>ROUND(D59/'BLS Data'!$AJ$20,2)</f>
        <v>324.22000000000003</v>
      </c>
      <c r="E7" s="60">
        <f>ROUND(E59/'BLS Data'!$AJ$20,2)</f>
        <v>549.05999999999995</v>
      </c>
      <c r="F7" s="60">
        <f>ROUND(F59/'BLS Data'!$AJ$20,2)</f>
        <v>578.98</v>
      </c>
      <c r="G7" s="60">
        <f>ROUND(G59/'BLS Data'!$AJ$20,2)</f>
        <v>2792.66</v>
      </c>
      <c r="H7" s="60">
        <f>ROUND(H59/'BLS Data'!$AJ$20,2)</f>
        <v>1527.49</v>
      </c>
    </row>
    <row r="8" spans="1:8">
      <c r="A8" s="56" t="s">
        <v>41</v>
      </c>
      <c r="B8" s="57">
        <v>2019</v>
      </c>
      <c r="C8" s="60">
        <f>ROUND(C60/'BLS Data'!$AJ$20,2)</f>
        <v>673.19</v>
      </c>
      <c r="D8" s="60">
        <f>ROUND(D60/'BLS Data'!$AJ$20,2)</f>
        <v>273.12</v>
      </c>
      <c r="E8" s="60">
        <f>ROUND(E60/'BLS Data'!$AJ$20,2)</f>
        <v>506.73</v>
      </c>
      <c r="F8" s="60">
        <f>ROUND(F60/'BLS Data'!$AJ$20,2)</f>
        <v>505.76</v>
      </c>
      <c r="G8" s="60">
        <f>ROUND(G60/'BLS Data'!$AJ$20,2)</f>
        <v>2957.89</v>
      </c>
      <c r="H8" s="60">
        <f>ROUND(H60/'BLS Data'!$AJ$20,2)</f>
        <v>2711.11</v>
      </c>
    </row>
    <row r="9" spans="1:8">
      <c r="A9" s="56" t="s">
        <v>42</v>
      </c>
      <c r="B9" s="57">
        <v>2019</v>
      </c>
      <c r="C9" s="60">
        <f>ROUND(C61/'BLS Data'!$AJ$20,2)</f>
        <v>816.12</v>
      </c>
      <c r="D9" s="60">
        <f>ROUND(D61/'BLS Data'!$AJ$20,2)</f>
        <v>314.74</v>
      </c>
      <c r="E9" s="60">
        <f>ROUND(E61/'BLS Data'!$AJ$20,2)</f>
        <v>646.32000000000005</v>
      </c>
      <c r="F9" s="60">
        <f>ROUND(F61/'BLS Data'!$AJ$20,2)</f>
        <v>510.86</v>
      </c>
      <c r="G9" s="60">
        <f>ROUND(G61/'BLS Data'!$AJ$20,2)</f>
        <v>4940.59</v>
      </c>
      <c r="H9" s="60">
        <f>ROUND(H61/'BLS Data'!$AJ$20,2)</f>
        <v>3845.56</v>
      </c>
    </row>
    <row r="10" spans="1:8">
      <c r="A10" s="56" t="s">
        <v>43</v>
      </c>
      <c r="B10" s="57">
        <v>2019</v>
      </c>
      <c r="C10" s="60">
        <f>ROUND(C62/'BLS Data'!$AJ$20,2)</f>
        <v>871.52</v>
      </c>
      <c r="D10" s="60">
        <f>ROUND(D62/'BLS Data'!$AJ$20,2)</f>
        <v>401.12</v>
      </c>
      <c r="E10" s="60">
        <f>ROUND(E62/'BLS Data'!$AJ$20,2)</f>
        <v>708.66</v>
      </c>
      <c r="F10" s="60">
        <f>ROUND(F62/'BLS Data'!$AJ$20,2)</f>
        <v>821.73</v>
      </c>
      <c r="G10" s="60">
        <f>ROUND(G62/'BLS Data'!$AJ$20,2)</f>
        <v>3008.99</v>
      </c>
      <c r="H10" s="60">
        <f>ROUND(H62/'BLS Data'!$AJ$20,2)</f>
        <v>3363.23</v>
      </c>
    </row>
    <row r="11" spans="1:8">
      <c r="A11" s="56" t="s">
        <v>44</v>
      </c>
      <c r="B11" s="57">
        <v>2019</v>
      </c>
      <c r="C11" s="60">
        <f>ROUND(C63/'BLS Data'!$AJ$20,2)</f>
        <v>1135.76</v>
      </c>
      <c r="D11" s="60">
        <f>ROUND(D63/'BLS Data'!$AJ$20,2)</f>
        <v>414.55</v>
      </c>
      <c r="E11" s="60">
        <f>ROUND(E63/'BLS Data'!$AJ$20,2)</f>
        <v>635.79</v>
      </c>
      <c r="F11" s="60">
        <f>ROUND(F63/'BLS Data'!$AJ$20,2)</f>
        <v>622.01</v>
      </c>
      <c r="G11" s="60">
        <f>ROUND(G63/'BLS Data'!$AJ$20,2)</f>
        <v>3793.32</v>
      </c>
      <c r="H11" s="60">
        <f>ROUND(H63/'BLS Data'!$AJ$20,2)</f>
        <v>3437.24</v>
      </c>
    </row>
    <row r="12" spans="1:8">
      <c r="A12" s="56" t="s">
        <v>30</v>
      </c>
      <c r="B12" s="57">
        <v>2019</v>
      </c>
      <c r="C12" s="60">
        <f>ROUND(C64/'BLS Data'!$AJ$20,2)</f>
        <v>540.36</v>
      </c>
      <c r="D12" s="60">
        <f>ROUND(D64/'BLS Data'!$AJ$20,2)</f>
        <v>221.32</v>
      </c>
      <c r="E12" s="61" t="s">
        <v>210</v>
      </c>
      <c r="F12" s="60">
        <f>ROUND(F64/'BLS Data'!$AJ$20,2)</f>
        <v>336.51</v>
      </c>
      <c r="G12" s="60">
        <f>ROUND(G64/'BLS Data'!$AJ$20,2)</f>
        <v>1593.51</v>
      </c>
      <c r="H12" s="60">
        <f>ROUND(H64/'BLS Data'!$AJ$20,2)</f>
        <v>1539.26</v>
      </c>
    </row>
    <row r="13" spans="1:8">
      <c r="A13" s="56" t="s">
        <v>31</v>
      </c>
      <c r="B13" s="57">
        <v>2019</v>
      </c>
      <c r="C13" s="60">
        <f>ROUND(C65/'BLS Data'!$AJ$20,2)</f>
        <v>514.45000000000005</v>
      </c>
      <c r="D13" s="60">
        <f>ROUND(D65/'BLS Data'!$AJ$20,2)</f>
        <v>217.99</v>
      </c>
      <c r="E13" s="61" t="s">
        <v>210</v>
      </c>
      <c r="F13" s="60">
        <f>ROUND(F65/'BLS Data'!$AJ$20,2)</f>
        <v>431.86</v>
      </c>
      <c r="G13" s="60">
        <f>ROUND(G65/'BLS Data'!$AJ$20,2)</f>
        <v>1450.85</v>
      </c>
      <c r="H13" s="60">
        <f>ROUND(H65/'BLS Data'!$AJ$20,2)</f>
        <v>1837.31</v>
      </c>
    </row>
    <row r="14" spans="1:8">
      <c r="A14" s="56" t="s">
        <v>45</v>
      </c>
      <c r="B14" s="57">
        <v>2019</v>
      </c>
      <c r="C14" s="60">
        <f>ROUND(C66/'BLS Data'!$AJ$20,2)</f>
        <v>639.48</v>
      </c>
      <c r="D14" s="60">
        <f>ROUND(D66/'BLS Data'!$AJ$20,2)</f>
        <v>321.58</v>
      </c>
      <c r="E14" s="60">
        <f>ROUND(E66/'BLS Data'!$AJ$20,2)</f>
        <v>545.11</v>
      </c>
      <c r="F14" s="60">
        <f>ROUND(F66/'BLS Data'!$AJ$20,2)</f>
        <v>481.89</v>
      </c>
      <c r="G14" s="60">
        <f>ROUND(G66/'BLS Data'!$AJ$20,2)</f>
        <v>2419.56</v>
      </c>
      <c r="H14" s="60">
        <f>ROUND(H66/'BLS Data'!$AJ$20,2)</f>
        <v>1439.27</v>
      </c>
    </row>
    <row r="15" spans="1:8">
      <c r="A15" s="56" t="s">
        <v>46</v>
      </c>
      <c r="B15" s="57">
        <v>2019</v>
      </c>
      <c r="C15" s="60">
        <f>ROUND(C67/'BLS Data'!$AJ$20,2)</f>
        <v>690.66</v>
      </c>
      <c r="D15" s="60">
        <f>ROUND(D67/'BLS Data'!$AJ$20,2)</f>
        <v>277.25</v>
      </c>
      <c r="E15" s="60">
        <f>ROUND(E67/'BLS Data'!$AJ$20,2)</f>
        <v>539.39</v>
      </c>
      <c r="F15" s="60">
        <f>ROUND(F67/'BLS Data'!$AJ$20,2)</f>
        <v>561.61</v>
      </c>
      <c r="G15" s="60">
        <f>ROUND(G67/'BLS Data'!$AJ$20,2)</f>
        <v>2294.79</v>
      </c>
      <c r="H15" s="60">
        <f>ROUND(H67/'BLS Data'!$AJ$20,2)</f>
        <v>1852.41</v>
      </c>
    </row>
    <row r="16" spans="1:8">
      <c r="A16" s="56" t="s">
        <v>47</v>
      </c>
      <c r="B16" s="57">
        <v>2019</v>
      </c>
      <c r="C16" s="60">
        <f>ROUND(C68/'BLS Data'!$AJ$20,2)</f>
        <v>770.38</v>
      </c>
      <c r="D16" s="60">
        <f>ROUND(D68/'BLS Data'!$AJ$20,2)</f>
        <v>364.69</v>
      </c>
      <c r="E16" s="60">
        <f>ROUND(E68/'BLS Data'!$AJ$20,2)</f>
        <v>690.22</v>
      </c>
      <c r="F16" s="60">
        <f>ROUND(F68/'BLS Data'!$AJ$20,2)</f>
        <v>533.95000000000005</v>
      </c>
      <c r="G16" s="60">
        <f>ROUND(G68/'BLS Data'!$AJ$20,2)</f>
        <v>1529.34</v>
      </c>
      <c r="H16" s="60">
        <f>ROUND(H68/'BLS Data'!$AJ$20,2)</f>
        <v>1936.52</v>
      </c>
    </row>
    <row r="17" spans="1:8">
      <c r="A17" s="56" t="s">
        <v>48</v>
      </c>
      <c r="B17" s="57">
        <v>2019</v>
      </c>
      <c r="C17" s="60">
        <f>ROUND(C69/'BLS Data'!$AJ$20,2)</f>
        <v>828.59</v>
      </c>
      <c r="D17" s="60">
        <f>ROUND(D69/'BLS Data'!$AJ$20,2)</f>
        <v>257.76</v>
      </c>
      <c r="E17" s="60">
        <f>ROUND(E69/'BLS Data'!$AJ$20,2)</f>
        <v>804</v>
      </c>
      <c r="F17" s="60">
        <f>ROUND(F69/'BLS Data'!$AJ$20,2)</f>
        <v>939.02</v>
      </c>
      <c r="G17" s="60">
        <f>ROUND(G69/'BLS Data'!$AJ$20,2)</f>
        <v>1997.18</v>
      </c>
      <c r="H17" s="60">
        <f>ROUND(H69/'BLS Data'!$AJ$20,2)</f>
        <v>2952.71</v>
      </c>
    </row>
    <row r="18" spans="1:8">
      <c r="A18" s="56" t="s">
        <v>49</v>
      </c>
      <c r="B18" s="57">
        <v>2019</v>
      </c>
      <c r="C18" s="60">
        <f>ROUND(C70/'BLS Data'!$AJ$20,2)</f>
        <v>749.13</v>
      </c>
      <c r="D18" s="60">
        <f>ROUND(D70/'BLS Data'!$AJ$20,2)</f>
        <v>273.04000000000002</v>
      </c>
      <c r="E18" s="60">
        <f>ROUND(E70/'BLS Data'!$AJ$20,2)</f>
        <v>577.76</v>
      </c>
      <c r="F18" s="60">
        <f>ROUND(F70/'BLS Data'!$AJ$20,2)</f>
        <v>555.54999999999995</v>
      </c>
      <c r="G18" s="60">
        <f>ROUND(G70/'BLS Data'!$AJ$20,2)</f>
        <v>2383.4699999999998</v>
      </c>
      <c r="H18" s="60">
        <f>ROUND(H70/'BLS Data'!$AJ$20,2)</f>
        <v>2694.51</v>
      </c>
    </row>
    <row r="19" spans="1:8">
      <c r="A19" s="56" t="s">
        <v>50</v>
      </c>
      <c r="B19" s="57">
        <v>2019</v>
      </c>
      <c r="C19" s="60">
        <f>ROUND(C71/'BLS Data'!$AJ$20,2)</f>
        <v>890.82</v>
      </c>
      <c r="D19" s="60">
        <f>ROUND(D71/'BLS Data'!$AJ$20,2)</f>
        <v>320.7</v>
      </c>
      <c r="E19" s="61" t="s">
        <v>210</v>
      </c>
      <c r="F19" s="60">
        <f>ROUND(F71/'BLS Data'!$AJ$20,2)</f>
        <v>572.5</v>
      </c>
      <c r="G19" s="60">
        <f>ROUND(G71/'BLS Data'!$AJ$20,2)</f>
        <v>2480.56</v>
      </c>
      <c r="H19" s="60">
        <f>ROUND(H71/'BLS Data'!$AJ$20,2)</f>
        <v>2881.07</v>
      </c>
    </row>
    <row r="20" spans="1:8">
      <c r="A20" s="56" t="s">
        <v>51</v>
      </c>
      <c r="B20" s="57">
        <v>2019</v>
      </c>
      <c r="C20" s="60">
        <f>ROUND(C72/'BLS Data'!$AJ$20,2)</f>
        <v>824.37</v>
      </c>
      <c r="D20" s="60">
        <f>ROUND(D72/'BLS Data'!$AJ$20,2)</f>
        <v>403.58</v>
      </c>
      <c r="E20" s="60">
        <f>ROUND(E72/'BLS Data'!$AJ$20,2)</f>
        <v>707.35</v>
      </c>
      <c r="F20" s="60">
        <f>ROUND(F72/'BLS Data'!$AJ$20,2)</f>
        <v>721.39</v>
      </c>
      <c r="G20" s="60">
        <f>ROUND(G72/'BLS Data'!$AJ$20,2)</f>
        <v>2073.3000000000002</v>
      </c>
      <c r="H20" s="60">
        <f>ROUND(H72/'BLS Data'!$AJ$20,2)</f>
        <v>2083.12</v>
      </c>
    </row>
    <row r="21" spans="1:8">
      <c r="A21" s="56" t="s">
        <v>32</v>
      </c>
      <c r="B21" s="57">
        <v>2019</v>
      </c>
      <c r="C21" s="60">
        <f>ROUND(C73/'BLS Data'!$AJ$20,2)</f>
        <v>675.64</v>
      </c>
      <c r="D21" s="60">
        <f>ROUND(D73/'BLS Data'!$AJ$20,2)</f>
        <v>283.22000000000003</v>
      </c>
      <c r="E21" s="60">
        <f>ROUND(E73/'BLS Data'!$AJ$20,2)</f>
        <v>628.5</v>
      </c>
      <c r="F21" s="60">
        <f>ROUND(F73/'BLS Data'!$AJ$20,2)</f>
        <v>592.16</v>
      </c>
      <c r="G21" s="60">
        <f>ROUND(G73/'BLS Data'!$AJ$20,2)</f>
        <v>1691.23</v>
      </c>
      <c r="H21" s="60">
        <f>ROUND(H73/'BLS Data'!$AJ$20,2)</f>
        <v>1630.21</v>
      </c>
    </row>
    <row r="22" spans="1:8">
      <c r="A22" s="56" t="s">
        <v>52</v>
      </c>
      <c r="B22" s="57">
        <v>2019</v>
      </c>
      <c r="C22" s="60">
        <f>ROUND(C74/'BLS Data'!$AJ$20,2)</f>
        <v>950.52</v>
      </c>
      <c r="D22" s="60">
        <f>ROUND(D74/'BLS Data'!$AJ$20,2)</f>
        <v>431.86</v>
      </c>
      <c r="E22" s="60">
        <f>ROUND(E74/'BLS Data'!$AJ$20,2)</f>
        <v>579.95000000000005</v>
      </c>
      <c r="F22" s="60">
        <f>ROUND(F74/'BLS Data'!$AJ$20,2)</f>
        <v>500.33</v>
      </c>
      <c r="G22" s="60">
        <f>ROUND(G74/'BLS Data'!$AJ$20,2)</f>
        <v>2322.2800000000002</v>
      </c>
      <c r="H22" s="60">
        <f>ROUND(H74/'BLS Data'!$AJ$20,2)</f>
        <v>2167.5</v>
      </c>
    </row>
    <row r="23" spans="1:8">
      <c r="A23" s="56" t="s">
        <v>53</v>
      </c>
      <c r="B23" s="57">
        <v>2019</v>
      </c>
      <c r="C23" s="60">
        <f>ROUND(C75/'BLS Data'!$AJ$20,2)</f>
        <v>843.16</v>
      </c>
      <c r="D23" s="60">
        <f>ROUND(D75/'BLS Data'!$AJ$20,2)</f>
        <v>314.12</v>
      </c>
      <c r="E23" s="60">
        <f>ROUND(E75/'BLS Data'!$AJ$20,2)</f>
        <v>769.76</v>
      </c>
      <c r="F23" s="60">
        <f>ROUND(F75/'BLS Data'!$AJ$20,2)</f>
        <v>569.08000000000004</v>
      </c>
      <c r="G23" s="60">
        <f>ROUND(G75/'BLS Data'!$AJ$20,2)</f>
        <v>3034.36</v>
      </c>
      <c r="H23" s="60">
        <f>ROUND(H75/'BLS Data'!$AJ$20,2)</f>
        <v>3194.83</v>
      </c>
    </row>
    <row r="24" spans="1:8">
      <c r="A24" s="56" t="s">
        <v>54</v>
      </c>
      <c r="B24" s="57">
        <v>2019</v>
      </c>
      <c r="C24" s="60">
        <f>ROUND(C76/'BLS Data'!$AJ$20,2)</f>
        <v>1048.1500000000001</v>
      </c>
      <c r="D24" s="60">
        <f>ROUND(D76/'BLS Data'!$AJ$20,2)</f>
        <v>396.56</v>
      </c>
      <c r="E24" s="60">
        <f>ROUND(E76/'BLS Data'!$AJ$20,2)</f>
        <v>707.61</v>
      </c>
      <c r="F24" s="60">
        <f>ROUND(F76/'BLS Data'!$AJ$20,2)</f>
        <v>536.67999999999995</v>
      </c>
      <c r="G24" s="60">
        <f>ROUND(G76/'BLS Data'!$AJ$20,2)</f>
        <v>1918.96</v>
      </c>
      <c r="H24" s="60">
        <f>ROUND(H76/'BLS Data'!$AJ$20,2)</f>
        <v>2438.34</v>
      </c>
    </row>
    <row r="25" spans="1:8">
      <c r="A25" s="56" t="s">
        <v>55</v>
      </c>
      <c r="B25" s="57">
        <v>2019</v>
      </c>
      <c r="C25" s="60">
        <f>ROUND(C77/'BLS Data'!$AJ$20,2)</f>
        <v>666.87</v>
      </c>
      <c r="D25" s="60">
        <f>ROUND(D77/'BLS Data'!$AJ$20,2)</f>
        <v>243.89</v>
      </c>
      <c r="E25" s="60">
        <f>ROUND(E77/'BLS Data'!$AJ$20,2)</f>
        <v>572.5</v>
      </c>
      <c r="F25" s="60">
        <f>ROUND(F77/'BLS Data'!$AJ$20,2)</f>
        <v>465.2</v>
      </c>
      <c r="G25" s="60">
        <f>ROUND(G77/'BLS Data'!$AJ$20,2)</f>
        <v>1734.51</v>
      </c>
      <c r="H25" s="60">
        <f>ROUND(H77/'BLS Data'!$AJ$20,2)</f>
        <v>2055.5700000000002</v>
      </c>
    </row>
    <row r="26" spans="1:8">
      <c r="A26" s="56" t="s">
        <v>56</v>
      </c>
      <c r="B26" s="57">
        <v>2019</v>
      </c>
      <c r="C26" s="60">
        <f>ROUND(C78/'BLS Data'!$AJ$20,2)</f>
        <v>1091.26</v>
      </c>
      <c r="D26" s="60">
        <f>ROUND(D78/'BLS Data'!$AJ$20,2)</f>
        <v>349.5</v>
      </c>
      <c r="E26" s="60">
        <f>ROUND(E78/'BLS Data'!$AJ$20,2)</f>
        <v>932.88</v>
      </c>
      <c r="F26" s="60">
        <f>ROUND(F78/'BLS Data'!$AJ$20,2)</f>
        <v>636.23</v>
      </c>
      <c r="G26" s="60">
        <f>ROUND(G78/'BLS Data'!$AJ$20,2)</f>
        <v>4432.2700000000004</v>
      </c>
      <c r="H26" s="60">
        <f>ROUND(H78/'BLS Data'!$AJ$20,2)</f>
        <v>3430.66</v>
      </c>
    </row>
    <row r="27" spans="1:8">
      <c r="A27" s="56" t="s">
        <v>33</v>
      </c>
      <c r="B27" s="57">
        <v>2019</v>
      </c>
      <c r="C27" s="60">
        <f>ROUND(C79/'BLS Data'!$AJ$20,2)</f>
        <v>709.8</v>
      </c>
      <c r="D27" s="60">
        <f>ROUND(D79/'BLS Data'!$AJ$20,2)</f>
        <v>294.72000000000003</v>
      </c>
      <c r="E27" s="61" t="s">
        <v>210</v>
      </c>
      <c r="F27" s="60">
        <f>ROUND(F79/'BLS Data'!$AJ$20,2)</f>
        <v>578.55999999999995</v>
      </c>
      <c r="G27" s="60">
        <f>ROUND(G79/'BLS Data'!$AJ$20,2)</f>
        <v>1671.83</v>
      </c>
      <c r="H27" s="60">
        <f>ROUND(H79/'BLS Data'!$AJ$20,2)</f>
        <v>2095.6799999999998</v>
      </c>
    </row>
    <row r="28" spans="1:8">
      <c r="A28" s="56" t="s">
        <v>57</v>
      </c>
      <c r="B28" s="57">
        <v>2019</v>
      </c>
      <c r="C28" s="60">
        <f>ROUND(C80/'BLS Data'!$AJ$20,2)</f>
        <v>872.57</v>
      </c>
      <c r="D28" s="60">
        <f>ROUND(D80/'BLS Data'!$AJ$20,2)</f>
        <v>380.23</v>
      </c>
      <c r="E28" s="60">
        <f>ROUND(E80/'BLS Data'!$AJ$20,2)</f>
        <v>532.47</v>
      </c>
      <c r="F28" s="60">
        <f>ROUND(F80/'BLS Data'!$AJ$20,2)</f>
        <v>547.29999999999995</v>
      </c>
      <c r="G28" s="60">
        <f>ROUND(G80/'BLS Data'!$AJ$20,2)</f>
        <v>2465.2800000000002</v>
      </c>
      <c r="H28" s="60">
        <f>ROUND(H80/'BLS Data'!$AJ$20,2)</f>
        <v>1982.69</v>
      </c>
    </row>
    <row r="29" spans="1:8">
      <c r="A29" s="56" t="s">
        <v>58</v>
      </c>
      <c r="B29" s="57">
        <v>2019</v>
      </c>
      <c r="C29" s="60">
        <f>ROUND(C81/'BLS Data'!$AJ$20,2)</f>
        <v>744.04</v>
      </c>
      <c r="D29" s="60">
        <f>ROUND(D81/'BLS Data'!$AJ$20,2)</f>
        <v>374.26</v>
      </c>
      <c r="E29" s="60">
        <f>ROUND(E81/'BLS Data'!$AJ$20,2)</f>
        <v>707.09</v>
      </c>
      <c r="F29" s="60">
        <f>ROUND(F81/'BLS Data'!$AJ$20,2)</f>
        <v>676.26</v>
      </c>
      <c r="G29" s="60">
        <f>ROUND(G81/'BLS Data'!$AJ$20,2)</f>
        <v>2049.59</v>
      </c>
      <c r="H29" s="60">
        <f>ROUND(H81/'BLS Data'!$AJ$20,2)</f>
        <v>2198.2199999999998</v>
      </c>
    </row>
    <row r="30" spans="1:8">
      <c r="A30" s="56" t="s">
        <v>59</v>
      </c>
      <c r="B30" s="57">
        <v>2019</v>
      </c>
      <c r="C30" s="60">
        <f>ROUND(C82/'BLS Data'!$AJ$20,2)</f>
        <v>940.07</v>
      </c>
      <c r="D30" s="60">
        <f>ROUND(D82/'BLS Data'!$AJ$20,2)</f>
        <v>322.02999999999997</v>
      </c>
      <c r="E30" s="60">
        <f>ROUND(E82/'BLS Data'!$AJ$20,2)</f>
        <v>860.27</v>
      </c>
      <c r="F30" s="60">
        <f>ROUND(F82/'BLS Data'!$AJ$20,2)</f>
        <v>707.61</v>
      </c>
      <c r="G30" s="60">
        <f>ROUND(G82/'BLS Data'!$AJ$20,2)</f>
        <v>2685.12</v>
      </c>
      <c r="H30" s="60">
        <f>ROUND(H82/'BLS Data'!$AJ$20,2)</f>
        <v>2801.09</v>
      </c>
    </row>
    <row r="31" spans="1:8">
      <c r="A31" s="56" t="s">
        <v>60</v>
      </c>
      <c r="B31" s="57">
        <v>2019</v>
      </c>
      <c r="C31" s="60">
        <f>ROUND(C83/'BLS Data'!$AJ$20,2)</f>
        <v>541.85</v>
      </c>
      <c r="D31" s="60">
        <f>ROUND(D83/'BLS Data'!$AJ$20,2)</f>
        <v>222.56</v>
      </c>
      <c r="E31" s="60">
        <f>ROUND(E83/'BLS Data'!$AJ$20,2)</f>
        <v>568.79999999999995</v>
      </c>
      <c r="F31" s="60">
        <f>ROUND(F83/'BLS Data'!$AJ$20,2)</f>
        <v>445.19</v>
      </c>
      <c r="G31" s="60">
        <f>ROUND(G83/'BLS Data'!$AJ$20,2)</f>
        <v>2032.82</v>
      </c>
      <c r="H31" s="60">
        <f>ROUND(H83/'BLS Data'!$AJ$20,2)</f>
        <v>1855.75</v>
      </c>
    </row>
    <row r="32" spans="1:8">
      <c r="A32" s="56" t="s">
        <v>61</v>
      </c>
      <c r="B32" s="57">
        <v>2019</v>
      </c>
      <c r="C32" s="60">
        <f>ROUND(C84/'BLS Data'!$AJ$20,2)</f>
        <v>916.2</v>
      </c>
      <c r="D32" s="60">
        <f>ROUND(D84/'BLS Data'!$AJ$20,2)</f>
        <v>399.01</v>
      </c>
      <c r="E32" s="60">
        <f>ROUND(E84/'BLS Data'!$AJ$20,2)</f>
        <v>634.03</v>
      </c>
      <c r="F32" s="60">
        <f>ROUND(F84/'BLS Data'!$AJ$20,2)</f>
        <v>591.54</v>
      </c>
      <c r="G32" s="60">
        <f>ROUND(G84/'BLS Data'!$AJ$20,2)</f>
        <v>2779.32</v>
      </c>
      <c r="H32" s="60">
        <f>ROUND(H84/'BLS Data'!$AJ$20,2)</f>
        <v>3893.04</v>
      </c>
    </row>
    <row r="33" spans="1:8">
      <c r="A33" s="56" t="s">
        <v>62</v>
      </c>
      <c r="B33" s="57">
        <v>2019</v>
      </c>
      <c r="C33" s="60">
        <f>ROUND(C85/'BLS Data'!$AJ$20,2)</f>
        <v>900.14</v>
      </c>
      <c r="D33" s="60">
        <f>ROUND(D85/'BLS Data'!$AJ$20,2)</f>
        <v>316.31</v>
      </c>
      <c r="E33" s="60">
        <f>ROUND(E85/'BLS Data'!$AJ$20,2)</f>
        <v>632.28</v>
      </c>
      <c r="F33" s="60">
        <f>ROUND(F85/'BLS Data'!$AJ$20,2)</f>
        <v>650.72</v>
      </c>
      <c r="G33" s="60">
        <f>ROUND(G85/'BLS Data'!$AJ$20,2)</f>
        <v>3152.35</v>
      </c>
      <c r="H33" s="60">
        <f>ROUND(H85/'BLS Data'!$AJ$20,2)</f>
        <v>2235.98</v>
      </c>
    </row>
    <row r="34" spans="1:8">
      <c r="A34" s="56" t="s">
        <v>63</v>
      </c>
      <c r="B34" s="57">
        <v>2019</v>
      </c>
      <c r="C34" s="60">
        <f>ROUND(C86/'BLS Data'!$AJ$20,2)</f>
        <v>735.16</v>
      </c>
      <c r="D34" s="60">
        <f>ROUND(D86/'BLS Data'!$AJ$20,2)</f>
        <v>378.29</v>
      </c>
      <c r="E34" s="60">
        <f>ROUND(E86/'BLS Data'!$AJ$20,2)</f>
        <v>649.4</v>
      </c>
      <c r="F34" s="60">
        <f>ROUND(F86/'BLS Data'!$AJ$20,2)</f>
        <v>638.08000000000004</v>
      </c>
      <c r="G34" s="60">
        <f>ROUND(G86/'BLS Data'!$AJ$20,2)</f>
        <v>2641.31</v>
      </c>
      <c r="H34" s="60">
        <f>ROUND(H86/'BLS Data'!$AJ$20,2)</f>
        <v>2428.41</v>
      </c>
    </row>
    <row r="35" spans="1:8">
      <c r="A35" s="56" t="s">
        <v>64</v>
      </c>
      <c r="B35" s="57">
        <v>2019</v>
      </c>
      <c r="C35" s="60">
        <f>ROUND(C87/'BLS Data'!$AJ$20,2)</f>
        <v>960.35</v>
      </c>
      <c r="D35" s="60">
        <f>ROUND(D87/'BLS Data'!$AJ$20,2)</f>
        <v>293.48</v>
      </c>
      <c r="E35" s="60">
        <f>ROUND(E87/'BLS Data'!$AJ$20,2)</f>
        <v>614.89</v>
      </c>
      <c r="F35" s="60">
        <f>ROUND(F87/'BLS Data'!$AJ$20,2)</f>
        <v>526.92999999999995</v>
      </c>
      <c r="G35" s="60">
        <f>ROUND(G87/'BLS Data'!$AJ$20,2)</f>
        <v>3149.19</v>
      </c>
      <c r="H35" s="60">
        <f>ROUND(H87/'BLS Data'!$AJ$20,2)</f>
        <v>2896.88</v>
      </c>
    </row>
    <row r="36" spans="1:8">
      <c r="A36" s="56" t="s">
        <v>34</v>
      </c>
      <c r="B36" s="57">
        <v>2019</v>
      </c>
      <c r="C36" s="60">
        <f>ROUND(C88/'BLS Data'!$AJ$20,2)</f>
        <v>783.63</v>
      </c>
      <c r="D36" s="60">
        <f>ROUND(D88/'BLS Data'!$AJ$20,2)</f>
        <v>304.45999999999998</v>
      </c>
      <c r="E36" s="61" t="s">
        <v>210</v>
      </c>
      <c r="F36" s="60">
        <f>ROUND(F88/'BLS Data'!$AJ$20,2)</f>
        <v>577.14</v>
      </c>
      <c r="G36" s="60">
        <f>ROUND(G88/'BLS Data'!$AJ$20,2)</f>
        <v>1996.47</v>
      </c>
      <c r="H36" s="60">
        <f>ROUND(H88/'BLS Data'!$AJ$20,2)</f>
        <v>1840.55</v>
      </c>
    </row>
    <row r="37" spans="1:8">
      <c r="A37" s="56" t="s">
        <v>65</v>
      </c>
      <c r="B37" s="57">
        <v>2019</v>
      </c>
      <c r="C37" s="60">
        <f>ROUND(C89/'BLS Data'!$AJ$20,2)</f>
        <v>1106.0999999999999</v>
      </c>
      <c r="D37" s="60">
        <f>ROUND(D89/'BLS Data'!$AJ$20,2)</f>
        <v>372.42</v>
      </c>
      <c r="E37" s="60">
        <f>ROUND(E89/'BLS Data'!$AJ$20,2)</f>
        <v>122.55</v>
      </c>
      <c r="F37" s="60">
        <f>ROUND(F89/'BLS Data'!$AJ$20,2)</f>
        <v>493.22</v>
      </c>
      <c r="G37" s="60">
        <f>ROUND(G89/'BLS Data'!$AJ$20,2)</f>
        <v>4218.32</v>
      </c>
      <c r="H37" s="60">
        <f>ROUND(H89/'BLS Data'!$AJ$20,2)</f>
        <v>5548.29</v>
      </c>
    </row>
    <row r="38" spans="1:8">
      <c r="A38" s="56" t="s">
        <v>66</v>
      </c>
      <c r="B38" s="57">
        <v>2019</v>
      </c>
      <c r="C38" s="60">
        <f>ROUND(C90/'BLS Data'!$AJ$20,2)</f>
        <v>838.93</v>
      </c>
      <c r="D38" s="60">
        <f>ROUND(D90/'BLS Data'!$AJ$20,2)</f>
        <v>313.86</v>
      </c>
      <c r="E38" s="60">
        <f>ROUND(E90/'BLS Data'!$AJ$20,2)</f>
        <v>702.77</v>
      </c>
      <c r="F38" s="60">
        <f>ROUND(F90/'BLS Data'!$AJ$20,2)</f>
        <v>541.95000000000005</v>
      </c>
      <c r="G38" s="60">
        <f>ROUND(G90/'BLS Data'!$AJ$20,2)</f>
        <v>2391.7199999999998</v>
      </c>
      <c r="H38" s="60">
        <f>ROUND(H90/'BLS Data'!$AJ$20,2)</f>
        <v>2696.18</v>
      </c>
    </row>
    <row r="39" spans="1:8">
      <c r="A39" s="56" t="s">
        <v>67</v>
      </c>
      <c r="B39" s="57">
        <v>2019</v>
      </c>
      <c r="C39" s="60">
        <f>ROUND(C91/'BLS Data'!$AJ$20,2)</f>
        <v>616.48</v>
      </c>
      <c r="D39" s="60">
        <f>ROUND(D91/'BLS Data'!$AJ$20,2)</f>
        <v>341.07</v>
      </c>
      <c r="E39" s="60">
        <f>ROUND(E91/'BLS Data'!$AJ$20,2)</f>
        <v>480.48</v>
      </c>
      <c r="F39" s="60">
        <f>ROUND(F91/'BLS Data'!$AJ$20,2)</f>
        <v>464.15</v>
      </c>
      <c r="G39" s="60">
        <f>ROUND(G91/'BLS Data'!$AJ$20,2)</f>
        <v>1666.46</v>
      </c>
      <c r="H39" s="60">
        <f>ROUND(H91/'BLS Data'!$AJ$20,2)</f>
        <v>1503.53</v>
      </c>
    </row>
    <row r="40" spans="1:8">
      <c r="A40" s="56" t="s">
        <v>68</v>
      </c>
      <c r="B40" s="57">
        <v>2019</v>
      </c>
      <c r="C40" s="60">
        <f>ROUND(C92/'BLS Data'!$AJ$20,2)</f>
        <v>967.91</v>
      </c>
      <c r="D40" s="60">
        <f>ROUND(D92/'BLS Data'!$AJ$20,2)</f>
        <v>373.81</v>
      </c>
      <c r="E40" s="60">
        <f>ROUND(E92/'BLS Data'!$AJ$20,2)</f>
        <v>709.97</v>
      </c>
      <c r="F40" s="60">
        <f>ROUND(F92/'BLS Data'!$AJ$20,2)</f>
        <v>943.41</v>
      </c>
      <c r="G40" s="60">
        <f>ROUND(G92/'BLS Data'!$AJ$20,2)</f>
        <v>2697.5</v>
      </c>
      <c r="H40" s="60">
        <f>ROUND(H92/'BLS Data'!$AJ$20,2)</f>
        <v>4570.8900000000003</v>
      </c>
    </row>
    <row r="41" spans="1:8">
      <c r="A41" s="56" t="s">
        <v>69</v>
      </c>
      <c r="B41" s="57">
        <v>2019</v>
      </c>
      <c r="C41" s="60">
        <f>ROUND(C93/'BLS Data'!$AJ$20,2)</f>
        <v>1067.9000000000001</v>
      </c>
      <c r="D41" s="60">
        <f>ROUND(D93/'BLS Data'!$AJ$20,2)</f>
        <v>382.42</v>
      </c>
      <c r="E41" s="60">
        <f>ROUND(E93/'BLS Data'!$AJ$20,2)</f>
        <v>666.69</v>
      </c>
      <c r="F41" s="60">
        <f>ROUND(F93/'BLS Data'!$AJ$20,2)</f>
        <v>609.01</v>
      </c>
      <c r="G41" s="60">
        <f>ROUND(G93/'BLS Data'!$AJ$20,2)</f>
        <v>2388.3000000000002</v>
      </c>
      <c r="H41" s="60">
        <f>ROUND(H93/'BLS Data'!$AJ$20,2)</f>
        <v>3030.94</v>
      </c>
    </row>
    <row r="42" spans="1:8">
      <c r="A42" s="56" t="s">
        <v>70</v>
      </c>
      <c r="B42" s="57">
        <v>2019</v>
      </c>
      <c r="C42" s="60">
        <f>ROUND(C94/'BLS Data'!$AJ$20,2)</f>
        <v>817.44</v>
      </c>
      <c r="D42" s="60">
        <f>ROUND(D94/'BLS Data'!$AJ$20,2)</f>
        <v>608.84</v>
      </c>
      <c r="E42" s="60">
        <f>ROUND(E94/'BLS Data'!$AJ$20,2)</f>
        <v>655.62</v>
      </c>
      <c r="F42" s="60">
        <f>ROUND(F94/'BLS Data'!$AJ$20,2)</f>
        <v>463.28</v>
      </c>
      <c r="G42" s="60">
        <f>ROUND(G94/'BLS Data'!$AJ$20,2)</f>
        <v>2116.31</v>
      </c>
      <c r="H42" s="60">
        <f>ROUND(H94/'BLS Data'!$AJ$20,2)</f>
        <v>1173.8599999999999</v>
      </c>
    </row>
    <row r="43" spans="1:8">
      <c r="A43" s="56" t="s">
        <v>35</v>
      </c>
      <c r="B43" s="57">
        <v>2019</v>
      </c>
      <c r="C43" s="60">
        <f>ROUND(C95/'BLS Data'!$AJ$20,2)</f>
        <v>542.63</v>
      </c>
      <c r="D43" s="60">
        <f>ROUND(D95/'BLS Data'!$AJ$20,2)</f>
        <v>226.95</v>
      </c>
      <c r="E43" s="61" t="s">
        <v>210</v>
      </c>
      <c r="F43" s="60">
        <f>ROUND(F95/'BLS Data'!$AJ$20,2)</f>
        <v>411.93</v>
      </c>
      <c r="G43" s="60">
        <f>ROUND(G95/'BLS Data'!$AJ$20,2)</f>
        <v>1495.37</v>
      </c>
      <c r="H43" s="60">
        <f>ROUND(H95/'BLS Data'!$AJ$20,2)</f>
        <v>1220.6600000000001</v>
      </c>
    </row>
    <row r="44" spans="1:8">
      <c r="A44" s="56" t="s">
        <v>71</v>
      </c>
      <c r="B44" s="57">
        <v>2019</v>
      </c>
      <c r="C44" s="60">
        <f>ROUND(C96/'BLS Data'!$AJ$20,2)</f>
        <v>778.63</v>
      </c>
      <c r="D44" s="60">
        <f>ROUND(D96/'BLS Data'!$AJ$20,2)</f>
        <v>255.56</v>
      </c>
      <c r="E44" s="61" t="s">
        <v>210</v>
      </c>
      <c r="F44" s="60">
        <f>ROUND(F96/'BLS Data'!$AJ$20,2)</f>
        <v>545.19000000000005</v>
      </c>
      <c r="G44" s="60">
        <f>ROUND(G96/'BLS Data'!$AJ$20,2)</f>
        <v>2557.12</v>
      </c>
      <c r="H44" s="60">
        <f>ROUND(H96/'BLS Data'!$AJ$20,2)</f>
        <v>2471.7800000000002</v>
      </c>
    </row>
    <row r="45" spans="1:8">
      <c r="A45" s="56" t="s">
        <v>36</v>
      </c>
      <c r="B45" s="57">
        <v>2019</v>
      </c>
      <c r="C45" s="60">
        <f>ROUND(C97/'BLS Data'!$AJ$20,2)</f>
        <v>611.73</v>
      </c>
      <c r="D45" s="60">
        <f>ROUND(D97/'BLS Data'!$AJ$20,2)</f>
        <v>323.77</v>
      </c>
      <c r="E45" s="61" t="s">
        <v>210</v>
      </c>
      <c r="F45" s="60">
        <f>ROUND(F97/'BLS Data'!$AJ$20,2)</f>
        <v>454.58</v>
      </c>
      <c r="G45" s="60">
        <f>ROUND(G97/'BLS Data'!$AJ$20,2)</f>
        <v>1482.62</v>
      </c>
      <c r="H45" s="60">
        <f>ROUND(H97/'BLS Data'!$AJ$20,2)</f>
        <v>2149.15</v>
      </c>
    </row>
    <row r="46" spans="1:8">
      <c r="A46" s="56" t="s">
        <v>37</v>
      </c>
      <c r="B46" s="57">
        <v>2019</v>
      </c>
      <c r="C46" s="60">
        <f>ROUND(C98/'BLS Data'!$AJ$20,2)</f>
        <v>739.38</v>
      </c>
      <c r="D46" s="60">
        <f>ROUND(D98/'BLS Data'!$AJ$20,2)</f>
        <v>326.5</v>
      </c>
      <c r="E46" s="60">
        <f>ROUND(E98/'BLS Data'!$AJ$20,2)</f>
        <v>248.54</v>
      </c>
      <c r="F46" s="60">
        <f>ROUND(F98/'BLS Data'!$AJ$20,2)</f>
        <v>739.56</v>
      </c>
      <c r="G46" s="60">
        <f>ROUND(G98/'BLS Data'!$AJ$20,2)</f>
        <v>2331.06</v>
      </c>
      <c r="H46" s="60">
        <f>ROUND(H98/'BLS Data'!$AJ$20,2)</f>
        <v>2210.6</v>
      </c>
    </row>
    <row r="47" spans="1:8">
      <c r="A47" s="56" t="s">
        <v>72</v>
      </c>
      <c r="B47" s="57">
        <v>2019</v>
      </c>
      <c r="C47" s="60">
        <f>ROUND(C99/'BLS Data'!$AJ$20,2)</f>
        <v>799.69</v>
      </c>
      <c r="D47" s="60">
        <f>ROUND(D99/'BLS Data'!$AJ$20,2)</f>
        <v>323.25</v>
      </c>
      <c r="E47" s="60">
        <f>ROUND(E99/'BLS Data'!$AJ$20,2)</f>
        <v>736.13</v>
      </c>
      <c r="F47" s="60">
        <f>ROUND(F99/'BLS Data'!$AJ$20,2)</f>
        <v>668.71</v>
      </c>
      <c r="G47" s="60">
        <f>ROUND(G99/'BLS Data'!$AJ$20,2)</f>
        <v>2532.71</v>
      </c>
      <c r="H47" s="60">
        <f>ROUND(H99/'BLS Data'!$AJ$20,2)</f>
        <v>1970.05</v>
      </c>
    </row>
    <row r="48" spans="1:8">
      <c r="A48" s="56" t="s">
        <v>73</v>
      </c>
      <c r="B48" s="57">
        <v>2019</v>
      </c>
      <c r="C48" s="60">
        <f>ROUND(C100/'BLS Data'!$AJ$20,2)</f>
        <v>0</v>
      </c>
      <c r="D48" s="60">
        <f>ROUND(D100/'BLS Data'!$AJ$20,2)</f>
        <v>0</v>
      </c>
      <c r="E48" s="60">
        <f>ROUND(E100/'BLS Data'!$AJ$20,2)</f>
        <v>0</v>
      </c>
      <c r="F48" s="60">
        <f>ROUND(F100/'BLS Data'!$AJ$20,2)</f>
        <v>0</v>
      </c>
      <c r="G48" s="60">
        <f>ROUND(G100/'BLS Data'!$AJ$20,2)</f>
        <v>0</v>
      </c>
      <c r="H48" s="60">
        <f>ROUND(H100/'BLS Data'!$AJ$20,2)</f>
        <v>0</v>
      </c>
    </row>
    <row r="49" spans="1:15">
      <c r="A49" s="56" t="s">
        <v>74</v>
      </c>
      <c r="B49" s="57">
        <v>2019</v>
      </c>
      <c r="C49" s="60">
        <f>ROUND(C101/'BLS Data'!$AJ$20,2)</f>
        <v>896.88</v>
      </c>
      <c r="D49" s="60">
        <f>ROUND(D101/'BLS Data'!$AJ$20,2)</f>
        <v>334.3</v>
      </c>
      <c r="E49" s="60">
        <f>ROUND(E101/'BLS Data'!$AJ$20,2)</f>
        <v>740.17</v>
      </c>
      <c r="F49" s="60">
        <f>ROUND(F101/'BLS Data'!$AJ$20,2)</f>
        <v>500.07</v>
      </c>
      <c r="G49" s="60">
        <f>ROUND(G101/'BLS Data'!$AJ$20,2)</f>
        <v>3189.48</v>
      </c>
      <c r="H49" s="60">
        <f>ROUND(H101/'BLS Data'!$AJ$20,2)</f>
        <v>2363.88</v>
      </c>
    </row>
    <row r="50" spans="1:15">
      <c r="A50" s="56" t="s">
        <v>75</v>
      </c>
      <c r="B50" s="57">
        <v>2019</v>
      </c>
      <c r="C50" s="60">
        <f>ROUND(C102/'BLS Data'!$AJ$20,2)</f>
        <v>994.59</v>
      </c>
      <c r="D50" s="60">
        <f>ROUND(D102/'BLS Data'!$AJ$20,2)</f>
        <v>373.21</v>
      </c>
      <c r="E50" s="60">
        <f>ROUND(E102/'BLS Data'!$AJ$20,2)</f>
        <v>960.45</v>
      </c>
      <c r="F50" s="60">
        <f>ROUND(F102/'BLS Data'!$AJ$20,2)</f>
        <v>906.88</v>
      </c>
      <c r="G50" s="60">
        <f>ROUND(G102/'BLS Data'!$AJ$20,2)</f>
        <v>3293.87</v>
      </c>
      <c r="H50" s="60">
        <f>ROUND(H102/'BLS Data'!$AJ$20,2)</f>
        <v>2807.76</v>
      </c>
    </row>
    <row r="51" spans="1:15">
      <c r="A51" s="56" t="s">
        <v>76</v>
      </c>
      <c r="B51" s="57">
        <v>2019</v>
      </c>
      <c r="C51" s="60">
        <f>ROUND(C103/'BLS Data'!$AJ$20,2)</f>
        <v>727.71</v>
      </c>
      <c r="D51" s="60">
        <f>ROUND(D103/'BLS Data'!$AJ$20,2)</f>
        <v>308.94</v>
      </c>
      <c r="E51" s="60">
        <f>ROUND(E103/'BLS Data'!$AJ$20,2)</f>
        <v>570.47</v>
      </c>
      <c r="F51" s="60">
        <f>ROUND(F103/'BLS Data'!$AJ$20,2)</f>
        <v>606.21</v>
      </c>
      <c r="G51" s="60">
        <f>ROUND(G103/'BLS Data'!$AJ$20,2)</f>
        <v>1517.66</v>
      </c>
      <c r="H51" s="60">
        <f>ROUND(H103/'BLS Data'!$AJ$20,2)</f>
        <v>2982.03</v>
      </c>
    </row>
    <row r="52" spans="1:15">
      <c r="A52" s="56" t="s">
        <v>77</v>
      </c>
      <c r="B52" s="57">
        <v>2019</v>
      </c>
      <c r="C52" s="60">
        <f>ROUND(C104/'BLS Data'!$AJ$20,2)</f>
        <v>721.74</v>
      </c>
      <c r="D52" s="60">
        <f>ROUND(D104/'BLS Data'!$AJ$20,2)</f>
        <v>271.10000000000002</v>
      </c>
      <c r="E52" s="61" t="s">
        <v>210</v>
      </c>
      <c r="F52" s="60">
        <f>ROUND(F104/'BLS Data'!$AJ$20,2)</f>
        <v>466.44</v>
      </c>
      <c r="G52" s="60">
        <f>ROUND(G104/'BLS Data'!$AJ$20,2)</f>
        <v>2006.58</v>
      </c>
      <c r="H52" s="60">
        <f>ROUND(H104/'BLS Data'!$AJ$20,2)</f>
        <v>1456.65</v>
      </c>
    </row>
    <row r="53" spans="1:15">
      <c r="A53" s="56" t="s">
        <v>78</v>
      </c>
      <c r="B53" s="57">
        <v>2019</v>
      </c>
      <c r="C53" s="60">
        <f>ROUND(C105/'BLS Data'!$AJ$20,2)</f>
        <v>793.81</v>
      </c>
      <c r="D53" s="60">
        <f>ROUND(D105/'BLS Data'!$AJ$20,2)</f>
        <v>287.52999999999997</v>
      </c>
      <c r="E53" s="61" t="s">
        <v>210</v>
      </c>
      <c r="F53" s="60">
        <f>ROUND(F105/'BLS Data'!$AJ$20,2)</f>
        <v>547.21</v>
      </c>
      <c r="G53" s="60">
        <f>ROUND(G105/'BLS Data'!$AJ$20,2)</f>
        <v>2342.65</v>
      </c>
      <c r="H53" s="60">
        <f>ROUND(H105/'BLS Data'!$AJ$20,2)</f>
        <v>3057.97</v>
      </c>
    </row>
    <row r="54" spans="1:15">
      <c r="A54" s="56" t="s">
        <v>214</v>
      </c>
      <c r="B54" s="57">
        <v>2020</v>
      </c>
      <c r="C54" s="60">
        <f>ROUND(C106/'BLS Data'!$AJ$21,2)</f>
        <v>776.23</v>
      </c>
      <c r="D54" s="60">
        <f>ROUND(D106/'BLS Data'!$AJ$21,2)</f>
        <v>303.77999999999997</v>
      </c>
      <c r="E54" s="60">
        <f>ROUND(E106/'BLS Data'!$AJ$21,2)</f>
        <v>635.16</v>
      </c>
      <c r="F54" s="60">
        <f>ROUND(F106/'BLS Data'!$AJ$21,2)</f>
        <v>540.47</v>
      </c>
      <c r="G54" s="60">
        <f>ROUND(G106/'BLS Data'!$AJ$21,2)</f>
        <v>2264.06</v>
      </c>
      <c r="H54" s="60">
        <f>ROUND(H106/'BLS Data'!$AJ$21,2)</f>
        <v>2051.27</v>
      </c>
      <c r="J54" s="56">
        <f>PMPM[[#This Row],[ Total]]*'BLS Data'!$AJ$21</f>
        <v>768.49523891418721</v>
      </c>
      <c r="K54" s="56">
        <f>PMPM[[#This Row],[Child]]*'BLS Data'!$AJ$21</f>
        <v>300.7529774388413</v>
      </c>
      <c r="L54" s="56">
        <f>PMPM[[#This Row],[Expansion Adults]]*'BLS Data'!$AJ$21</f>
        <v>628.83093406430453</v>
      </c>
      <c r="M54" s="56">
        <f>PMPM[[#This Row],[Adults]]*'BLS Data'!$AJ$21</f>
        <v>535.08447467368023</v>
      </c>
      <c r="N54" s="56">
        <f>PMPM[[#This Row],[ Disabled]]*'BLS Data'!$AJ$21</f>
        <v>2241.4997238138885</v>
      </c>
      <c r="O54" s="56">
        <f>PMPM[[#This Row],[ Aged]]*'BLS Data'!$AJ$21</f>
        <v>2030.8300744978997</v>
      </c>
    </row>
    <row r="55" spans="1:15">
      <c r="A55" s="56" t="s">
        <v>19</v>
      </c>
      <c r="B55" s="57">
        <v>2020</v>
      </c>
      <c r="C55" s="60">
        <f>ROUND(C107/'BLS Data'!$AJ$21,2)</f>
        <v>579.35</v>
      </c>
      <c r="D55" s="60">
        <f>ROUND(D107/'BLS Data'!$AJ$21,2)</f>
        <v>223.4</v>
      </c>
      <c r="E55" s="61" t="s">
        <v>210</v>
      </c>
      <c r="F55" s="60">
        <f>ROUND(F107/'BLS Data'!$AJ$21,2)</f>
        <v>425.74</v>
      </c>
      <c r="G55" s="60">
        <f>ROUND(G107/'BLS Data'!$AJ$21,2)</f>
        <v>1476.63</v>
      </c>
      <c r="H55" s="60">
        <f>ROUND(H107/'BLS Data'!$AJ$21,2)</f>
        <v>2051.27</v>
      </c>
    </row>
    <row r="56" spans="1:15">
      <c r="A56" s="56" t="s">
        <v>38</v>
      </c>
      <c r="B56" s="57">
        <v>2020</v>
      </c>
      <c r="C56" s="60">
        <f>ROUND(C108/'BLS Data'!$AJ$21,2)</f>
        <v>768.41</v>
      </c>
      <c r="D56" s="60">
        <f>ROUND(D108/'BLS Data'!$AJ$21,2)</f>
        <v>432.31</v>
      </c>
      <c r="E56" s="60">
        <f>ROUND(E108/'BLS Data'!$AJ$21,2)</f>
        <v>694.17</v>
      </c>
      <c r="F56" s="60">
        <f>ROUND(F108/'BLS Data'!$AJ$21,2)</f>
        <v>600.05999999999995</v>
      </c>
      <c r="G56" s="60">
        <f>ROUND(G108/'BLS Data'!$AJ$21,2)</f>
        <v>2766.23</v>
      </c>
      <c r="H56" s="60">
        <f>ROUND(H108/'BLS Data'!$AJ$21,2)</f>
        <v>1927.96</v>
      </c>
      <c r="J56" s="60" t="s">
        <v>252</v>
      </c>
      <c r="K56" s="56">
        <f>'BLS Data'!AJ21</f>
        <v>0.99003547777615808</v>
      </c>
      <c r="L56" s="60">
        <f>C106</f>
        <v>768.5</v>
      </c>
    </row>
    <row r="57" spans="1:15">
      <c r="A57" s="56" t="s">
        <v>39</v>
      </c>
      <c r="B57" s="57">
        <v>2020</v>
      </c>
      <c r="C57" s="60">
        <f>ROUND(C109/'BLS Data'!$AJ$21,2)</f>
        <v>754.69</v>
      </c>
      <c r="D57" s="60">
        <f>ROUND(D109/'BLS Data'!$AJ$21,2)</f>
        <v>303.19</v>
      </c>
      <c r="E57" s="60">
        <f>ROUND(E109/'BLS Data'!$AJ$21,2)</f>
        <v>813.27</v>
      </c>
      <c r="F57" s="60">
        <f>ROUND(F109/'BLS Data'!$AJ$21,2)</f>
        <v>586.26</v>
      </c>
      <c r="G57" s="60">
        <f>ROUND(G109/'BLS Data'!$AJ$21,2)</f>
        <v>2678.27</v>
      </c>
      <c r="H57" s="60">
        <f>ROUND(H109/'BLS Data'!$AJ$21,2)</f>
        <v>1056.19</v>
      </c>
    </row>
    <row r="58" spans="1:15">
      <c r="A58" s="56" t="s">
        <v>28</v>
      </c>
      <c r="B58" s="57">
        <v>2020</v>
      </c>
      <c r="C58" s="60">
        <f>ROUND(C110/'BLS Data'!$AJ$21,2)</f>
        <v>664.12</v>
      </c>
      <c r="D58" s="60">
        <f>ROUND(D110/'BLS Data'!$AJ$21,2)</f>
        <v>343.59</v>
      </c>
      <c r="E58" s="60">
        <f>ROUND(E110/'BLS Data'!$AJ$21,2)</f>
        <v>608.30999999999995</v>
      </c>
      <c r="F58" s="60">
        <f>ROUND(F110/'BLS Data'!$AJ$21,2)</f>
        <v>503.94</v>
      </c>
      <c r="G58" s="60">
        <f>ROUND(G110/'BLS Data'!$AJ$21,2)</f>
        <v>1582.94</v>
      </c>
      <c r="H58" s="60">
        <f>ROUND(H110/'BLS Data'!$AJ$21,2)</f>
        <v>1849.51</v>
      </c>
    </row>
    <row r="59" spans="1:15">
      <c r="A59" s="56" t="s">
        <v>40</v>
      </c>
      <c r="B59" s="57">
        <v>2020</v>
      </c>
      <c r="C59" s="60">
        <f>ROUND(C111/'BLS Data'!$AJ$21,2)</f>
        <v>745.43</v>
      </c>
      <c r="D59" s="60">
        <f>ROUND(D111/'BLS Data'!$AJ$21,2)</f>
        <v>310.85000000000002</v>
      </c>
      <c r="E59" s="60">
        <f>ROUND(E111/'BLS Data'!$AJ$21,2)</f>
        <v>526.41999999999996</v>
      </c>
      <c r="F59" s="60">
        <f>ROUND(F111/'BLS Data'!$AJ$21,2)</f>
        <v>555.11</v>
      </c>
      <c r="G59" s="60">
        <f>ROUND(G111/'BLS Data'!$AJ$21,2)</f>
        <v>2677.51</v>
      </c>
      <c r="H59" s="60">
        <f>ROUND(H111/'BLS Data'!$AJ$21,2)</f>
        <v>1464.51</v>
      </c>
    </row>
    <row r="60" spans="1:15">
      <c r="A60" s="56" t="s">
        <v>41</v>
      </c>
      <c r="B60" s="57">
        <v>2020</v>
      </c>
      <c r="C60" s="60">
        <f>ROUND(C112/'BLS Data'!$AJ$21,2)</f>
        <v>645.42999999999995</v>
      </c>
      <c r="D60" s="60">
        <f>ROUND(D112/'BLS Data'!$AJ$21,2)</f>
        <v>261.86</v>
      </c>
      <c r="E60" s="60">
        <f>ROUND(E112/'BLS Data'!$AJ$21,2)</f>
        <v>485.84</v>
      </c>
      <c r="F60" s="60">
        <f>ROUND(F112/'BLS Data'!$AJ$21,2)</f>
        <v>484.91</v>
      </c>
      <c r="G60" s="60">
        <f>ROUND(G112/'BLS Data'!$AJ$21,2)</f>
        <v>2835.93</v>
      </c>
      <c r="H60" s="60">
        <f>ROUND(H112/'BLS Data'!$AJ$21,2)</f>
        <v>2599.3200000000002</v>
      </c>
    </row>
    <row r="61" spans="1:15">
      <c r="A61" s="56" t="s">
        <v>42</v>
      </c>
      <c r="B61" s="57">
        <v>2020</v>
      </c>
      <c r="C61" s="60">
        <f>ROUND(C113/'BLS Data'!$AJ$21,2)</f>
        <v>782.47</v>
      </c>
      <c r="D61" s="60">
        <f>ROUND(D113/'BLS Data'!$AJ$21,2)</f>
        <v>301.76</v>
      </c>
      <c r="E61" s="60">
        <f>ROUND(E113/'BLS Data'!$AJ$21,2)</f>
        <v>619.66999999999996</v>
      </c>
      <c r="F61" s="60">
        <f>ROUND(F113/'BLS Data'!$AJ$21,2)</f>
        <v>489.8</v>
      </c>
      <c r="G61" s="60">
        <f>ROUND(G113/'BLS Data'!$AJ$21,2)</f>
        <v>4736.87</v>
      </c>
      <c r="H61" s="60">
        <f>ROUND(H113/'BLS Data'!$AJ$21,2)</f>
        <v>3686.99</v>
      </c>
    </row>
    <row r="62" spans="1:15">
      <c r="A62" s="56" t="s">
        <v>43</v>
      </c>
      <c r="B62" s="57">
        <v>2020</v>
      </c>
      <c r="C62" s="60">
        <f>ROUND(C114/'BLS Data'!$AJ$21,2)</f>
        <v>835.58</v>
      </c>
      <c r="D62" s="60">
        <f>ROUND(D114/'BLS Data'!$AJ$21,2)</f>
        <v>384.58</v>
      </c>
      <c r="E62" s="60">
        <f>ROUND(E114/'BLS Data'!$AJ$21,2)</f>
        <v>679.44</v>
      </c>
      <c r="F62" s="60">
        <f>ROUND(F114/'BLS Data'!$AJ$21,2)</f>
        <v>787.85</v>
      </c>
      <c r="G62" s="60">
        <f>ROUND(G114/'BLS Data'!$AJ$21,2)</f>
        <v>2884.92</v>
      </c>
      <c r="H62" s="60">
        <f>ROUND(H114/'BLS Data'!$AJ$21,2)</f>
        <v>3224.55</v>
      </c>
    </row>
    <row r="63" spans="1:15">
      <c r="A63" s="56" t="s">
        <v>44</v>
      </c>
      <c r="B63" s="57">
        <v>2020</v>
      </c>
      <c r="C63" s="60">
        <f>ROUND(C115/'BLS Data'!$AJ$21,2)</f>
        <v>1088.93</v>
      </c>
      <c r="D63" s="60">
        <f>ROUND(D115/'BLS Data'!$AJ$21,2)</f>
        <v>397.46</v>
      </c>
      <c r="E63" s="60">
        <f>ROUND(E115/'BLS Data'!$AJ$21,2)</f>
        <v>609.57000000000005</v>
      </c>
      <c r="F63" s="60">
        <f>ROUND(F115/'BLS Data'!$AJ$21,2)</f>
        <v>596.36</v>
      </c>
      <c r="G63" s="60">
        <f>ROUND(G115/'BLS Data'!$AJ$21,2)</f>
        <v>3636.91</v>
      </c>
      <c r="H63" s="60">
        <f>ROUND(H115/'BLS Data'!$AJ$21,2)</f>
        <v>3295.51</v>
      </c>
    </row>
    <row r="64" spans="1:15">
      <c r="A64" s="56" t="s">
        <v>30</v>
      </c>
      <c r="B64" s="57">
        <v>2020</v>
      </c>
      <c r="C64" s="60">
        <f>ROUND(C116/'BLS Data'!$AJ$21,2)</f>
        <v>518.08000000000004</v>
      </c>
      <c r="D64" s="60">
        <f>ROUND(D116/'BLS Data'!$AJ$21,2)</f>
        <v>212.19</v>
      </c>
      <c r="E64" s="61" t="s">
        <v>210</v>
      </c>
      <c r="F64" s="60">
        <f>ROUND(F116/'BLS Data'!$AJ$21,2)</f>
        <v>322.63</v>
      </c>
      <c r="G64" s="60">
        <f>ROUND(G116/'BLS Data'!$AJ$21,2)</f>
        <v>1527.8</v>
      </c>
      <c r="H64" s="60">
        <f>ROUND(H116/'BLS Data'!$AJ$21,2)</f>
        <v>1475.79</v>
      </c>
    </row>
    <row r="65" spans="1:8">
      <c r="A65" s="56" t="s">
        <v>31</v>
      </c>
      <c r="B65" s="57">
        <v>2020</v>
      </c>
      <c r="C65" s="60">
        <f>ROUND(C117/'BLS Data'!$AJ$21,2)</f>
        <v>493.24</v>
      </c>
      <c r="D65" s="60">
        <f>ROUND(D117/'BLS Data'!$AJ$21,2)</f>
        <v>209</v>
      </c>
      <c r="E65" s="61" t="s">
        <v>210</v>
      </c>
      <c r="F65" s="60">
        <f>ROUND(F117/'BLS Data'!$AJ$21,2)</f>
        <v>414.05</v>
      </c>
      <c r="G65" s="60">
        <f>ROUND(G117/'BLS Data'!$AJ$21,2)</f>
        <v>1391.03</v>
      </c>
      <c r="H65" s="60">
        <f>ROUND(H117/'BLS Data'!$AJ$21,2)</f>
        <v>1761.55</v>
      </c>
    </row>
    <row r="66" spans="1:8">
      <c r="A66" s="56" t="s">
        <v>45</v>
      </c>
      <c r="B66" s="57">
        <v>2020</v>
      </c>
      <c r="C66" s="60">
        <f>ROUND(C118/'BLS Data'!$AJ$21,2)</f>
        <v>613.11</v>
      </c>
      <c r="D66" s="60">
        <f>ROUND(D118/'BLS Data'!$AJ$21,2)</f>
        <v>308.32</v>
      </c>
      <c r="E66" s="60">
        <f>ROUND(E118/'BLS Data'!$AJ$21,2)</f>
        <v>522.63</v>
      </c>
      <c r="F66" s="60">
        <f>ROUND(F118/'BLS Data'!$AJ$21,2)</f>
        <v>462.02</v>
      </c>
      <c r="G66" s="60">
        <f>ROUND(G118/'BLS Data'!$AJ$21,2)</f>
        <v>2319.79</v>
      </c>
      <c r="H66" s="60">
        <f>ROUND(H118/'BLS Data'!$AJ$21,2)</f>
        <v>1379.92</v>
      </c>
    </row>
    <row r="67" spans="1:8">
      <c r="A67" s="56" t="s">
        <v>46</v>
      </c>
      <c r="B67" s="57">
        <v>2020</v>
      </c>
      <c r="C67" s="60">
        <f>ROUND(C119/'BLS Data'!$AJ$21,2)</f>
        <v>662.18</v>
      </c>
      <c r="D67" s="60">
        <f>ROUND(D119/'BLS Data'!$AJ$21,2)</f>
        <v>265.82</v>
      </c>
      <c r="E67" s="60">
        <f>ROUND(E119/'BLS Data'!$AJ$21,2)</f>
        <v>517.15</v>
      </c>
      <c r="F67" s="60">
        <f>ROUND(F119/'BLS Data'!$AJ$21,2)</f>
        <v>538.45000000000005</v>
      </c>
      <c r="G67" s="60">
        <f>ROUND(G119/'BLS Data'!$AJ$21,2)</f>
        <v>2200.17</v>
      </c>
      <c r="H67" s="60">
        <f>ROUND(H119/'BLS Data'!$AJ$21,2)</f>
        <v>1776.03</v>
      </c>
    </row>
    <row r="68" spans="1:8">
      <c r="A68" s="56" t="s">
        <v>47</v>
      </c>
      <c r="B68" s="57">
        <v>2020</v>
      </c>
      <c r="C68" s="60">
        <f>ROUND(C120/'BLS Data'!$AJ$21,2)</f>
        <v>738.61</v>
      </c>
      <c r="D68" s="60">
        <f>ROUND(D120/'BLS Data'!$AJ$21,2)</f>
        <v>349.65</v>
      </c>
      <c r="E68" s="60">
        <f>ROUND(E120/'BLS Data'!$AJ$21,2)</f>
        <v>661.76</v>
      </c>
      <c r="F68" s="60">
        <f>ROUND(F120/'BLS Data'!$AJ$21,2)</f>
        <v>511.93</v>
      </c>
      <c r="G68" s="60">
        <f>ROUND(G120/'BLS Data'!$AJ$21,2)</f>
        <v>1466.28</v>
      </c>
      <c r="H68" s="60">
        <f>ROUND(H120/'BLS Data'!$AJ$21,2)</f>
        <v>1856.67</v>
      </c>
    </row>
    <row r="69" spans="1:8">
      <c r="A69" s="56" t="s">
        <v>48</v>
      </c>
      <c r="B69" s="57">
        <v>2020</v>
      </c>
      <c r="C69" s="60">
        <f>ROUND(C121/'BLS Data'!$AJ$21,2)</f>
        <v>794.42</v>
      </c>
      <c r="D69" s="60">
        <f>ROUND(D121/'BLS Data'!$AJ$21,2)</f>
        <v>247.13</v>
      </c>
      <c r="E69" s="60">
        <f>ROUND(E121/'BLS Data'!$AJ$21,2)</f>
        <v>770.85</v>
      </c>
      <c r="F69" s="60">
        <f>ROUND(F121/'BLS Data'!$AJ$21,2)</f>
        <v>900.3</v>
      </c>
      <c r="G69" s="60">
        <f>ROUND(G121/'BLS Data'!$AJ$21,2)</f>
        <v>1914.83</v>
      </c>
      <c r="H69" s="60">
        <f>ROUND(H121/'BLS Data'!$AJ$21,2)</f>
        <v>2830.96</v>
      </c>
    </row>
    <row r="70" spans="1:8">
      <c r="A70" s="56" t="s">
        <v>49</v>
      </c>
      <c r="B70" s="57">
        <v>2020</v>
      </c>
      <c r="C70" s="60">
        <f>ROUND(C122/'BLS Data'!$AJ$21,2)</f>
        <v>718.24</v>
      </c>
      <c r="D70" s="60">
        <f>ROUND(D122/'BLS Data'!$AJ$21,2)</f>
        <v>261.77999999999997</v>
      </c>
      <c r="E70" s="60">
        <f>ROUND(E122/'BLS Data'!$AJ$21,2)</f>
        <v>553.94000000000005</v>
      </c>
      <c r="F70" s="60">
        <f>ROUND(F122/'BLS Data'!$AJ$21,2)</f>
        <v>532.64</v>
      </c>
      <c r="G70" s="60">
        <f>ROUND(G122/'BLS Data'!$AJ$21,2)</f>
        <v>2285.19</v>
      </c>
      <c r="H70" s="60">
        <f>ROUND(H122/'BLS Data'!$AJ$21,2)</f>
        <v>2583.41</v>
      </c>
    </row>
    <row r="71" spans="1:8">
      <c r="A71" s="56" t="s">
        <v>50</v>
      </c>
      <c r="B71" s="57">
        <v>2020</v>
      </c>
      <c r="C71" s="60">
        <f>ROUND(C123/'BLS Data'!$AJ$21,2)</f>
        <v>854.09</v>
      </c>
      <c r="D71" s="60">
        <f>ROUND(D123/'BLS Data'!$AJ$21,2)</f>
        <v>307.48</v>
      </c>
      <c r="E71" s="61" t="s">
        <v>210</v>
      </c>
      <c r="F71" s="60">
        <f>ROUND(F123/'BLS Data'!$AJ$21,2)</f>
        <v>548.89</v>
      </c>
      <c r="G71" s="60">
        <f>ROUND(G123/'BLS Data'!$AJ$21,2)</f>
        <v>2378.2800000000002</v>
      </c>
      <c r="H71" s="60">
        <f>ROUND(H123/'BLS Data'!$AJ$21,2)</f>
        <v>2762.27</v>
      </c>
    </row>
    <row r="72" spans="1:8">
      <c r="A72" s="56" t="s">
        <v>51</v>
      </c>
      <c r="B72" s="57">
        <v>2020</v>
      </c>
      <c r="C72" s="60">
        <f>ROUND(C124/'BLS Data'!$AJ$21,2)</f>
        <v>790.38</v>
      </c>
      <c r="D72" s="60">
        <f>ROUND(D124/'BLS Data'!$AJ$21,2)</f>
        <v>386.94</v>
      </c>
      <c r="E72" s="60">
        <f>ROUND(E124/'BLS Data'!$AJ$21,2)</f>
        <v>678.18</v>
      </c>
      <c r="F72" s="60">
        <f>ROUND(F124/'BLS Data'!$AJ$21,2)</f>
        <v>691.64</v>
      </c>
      <c r="G72" s="60">
        <f>ROUND(G124/'BLS Data'!$AJ$21,2)</f>
        <v>1987.81</v>
      </c>
      <c r="H72" s="60">
        <f>ROUND(H124/'BLS Data'!$AJ$21,2)</f>
        <v>1997.23</v>
      </c>
    </row>
    <row r="73" spans="1:8">
      <c r="A73" s="56" t="s">
        <v>32</v>
      </c>
      <c r="B73" s="57">
        <v>2020</v>
      </c>
      <c r="C73" s="60">
        <f>ROUND(C125/'BLS Data'!$AJ$21,2)</f>
        <v>647.78</v>
      </c>
      <c r="D73" s="60">
        <f>ROUND(D125/'BLS Data'!$AJ$21,2)</f>
        <v>271.54000000000002</v>
      </c>
      <c r="E73" s="60">
        <f>ROUND(E125/'BLS Data'!$AJ$21,2)</f>
        <v>602.58000000000004</v>
      </c>
      <c r="F73" s="60">
        <f>ROUND(F125/'BLS Data'!$AJ$21,2)</f>
        <v>567.74</v>
      </c>
      <c r="G73" s="60">
        <f>ROUND(G125/'BLS Data'!$AJ$21,2)</f>
        <v>1621.49</v>
      </c>
      <c r="H73" s="60">
        <f>ROUND(H125/'BLS Data'!$AJ$21,2)</f>
        <v>1562.99</v>
      </c>
    </row>
    <row r="74" spans="1:8">
      <c r="A74" s="56" t="s">
        <v>52</v>
      </c>
      <c r="B74" s="57">
        <v>2020</v>
      </c>
      <c r="C74" s="60">
        <f>ROUND(C126/'BLS Data'!$AJ$21,2)</f>
        <v>911.33</v>
      </c>
      <c r="D74" s="60">
        <f>ROUND(D126/'BLS Data'!$AJ$21,2)</f>
        <v>414.05</v>
      </c>
      <c r="E74" s="60">
        <f>ROUND(E126/'BLS Data'!$AJ$21,2)</f>
        <v>556.04</v>
      </c>
      <c r="F74" s="60">
        <f>ROUND(F126/'BLS Data'!$AJ$21,2)</f>
        <v>479.7</v>
      </c>
      <c r="G74" s="60">
        <f>ROUND(G126/'BLS Data'!$AJ$21,2)</f>
        <v>2226.52</v>
      </c>
      <c r="H74" s="60">
        <f>ROUND(H126/'BLS Data'!$AJ$21,2)</f>
        <v>2078.13</v>
      </c>
    </row>
    <row r="75" spans="1:8">
      <c r="A75" s="56" t="s">
        <v>53</v>
      </c>
      <c r="B75" s="57">
        <v>2020</v>
      </c>
      <c r="C75" s="60">
        <f>ROUND(C127/'BLS Data'!$AJ$21,2)</f>
        <v>808.39</v>
      </c>
      <c r="D75" s="60">
        <f>ROUND(D127/'BLS Data'!$AJ$21,2)</f>
        <v>301.17</v>
      </c>
      <c r="E75" s="60">
        <f>ROUND(E127/'BLS Data'!$AJ$21,2)</f>
        <v>738.02</v>
      </c>
      <c r="F75" s="60">
        <f>ROUND(F127/'BLS Data'!$AJ$21,2)</f>
        <v>545.61</v>
      </c>
      <c r="G75" s="60">
        <f>ROUND(G127/'BLS Data'!$AJ$21,2)</f>
        <v>2909.24</v>
      </c>
      <c r="H75" s="60">
        <f>ROUND(H127/'BLS Data'!$AJ$21,2)</f>
        <v>3063.1</v>
      </c>
    </row>
    <row r="76" spans="1:8">
      <c r="A76" s="56" t="s">
        <v>54</v>
      </c>
      <c r="B76" s="57">
        <v>2020</v>
      </c>
      <c r="C76" s="60">
        <f>ROUND(C128/'BLS Data'!$AJ$21,2)</f>
        <v>1004.93</v>
      </c>
      <c r="D76" s="60">
        <f>ROUND(D128/'BLS Data'!$AJ$21,2)</f>
        <v>380.21</v>
      </c>
      <c r="E76" s="60">
        <f>ROUND(E128/'BLS Data'!$AJ$21,2)</f>
        <v>678.43</v>
      </c>
      <c r="F76" s="60">
        <f>ROUND(F128/'BLS Data'!$AJ$21,2)</f>
        <v>514.54999999999995</v>
      </c>
      <c r="G76" s="60">
        <f>ROUND(G128/'BLS Data'!$AJ$21,2)</f>
        <v>1839.83</v>
      </c>
      <c r="H76" s="60">
        <f>ROUND(H128/'BLS Data'!$AJ$21,2)</f>
        <v>2337.8000000000002</v>
      </c>
    </row>
    <row r="77" spans="1:8">
      <c r="A77" s="56" t="s">
        <v>55</v>
      </c>
      <c r="B77" s="57">
        <v>2020</v>
      </c>
      <c r="C77" s="60">
        <f>ROUND(C129/'BLS Data'!$AJ$21,2)</f>
        <v>639.37</v>
      </c>
      <c r="D77" s="60">
        <f>ROUND(D129/'BLS Data'!$AJ$21,2)</f>
        <v>233.83</v>
      </c>
      <c r="E77" s="60">
        <f>ROUND(E129/'BLS Data'!$AJ$21,2)</f>
        <v>548.89</v>
      </c>
      <c r="F77" s="60">
        <f>ROUND(F129/'BLS Data'!$AJ$21,2)</f>
        <v>446.02</v>
      </c>
      <c r="G77" s="60">
        <f>ROUND(G129/'BLS Data'!$AJ$21,2)</f>
        <v>1662.99</v>
      </c>
      <c r="H77" s="60">
        <f>ROUND(H129/'BLS Data'!$AJ$21,2)</f>
        <v>1970.81</v>
      </c>
    </row>
    <row r="78" spans="1:8">
      <c r="A78" s="56" t="s">
        <v>56</v>
      </c>
      <c r="B78" s="57">
        <v>2020</v>
      </c>
      <c r="C78" s="60">
        <f>ROUND(C130/'BLS Data'!$AJ$21,2)</f>
        <v>1046.26</v>
      </c>
      <c r="D78" s="60">
        <f>ROUND(D130/'BLS Data'!$AJ$21,2)</f>
        <v>335.09</v>
      </c>
      <c r="E78" s="60">
        <f>ROUND(E130/'BLS Data'!$AJ$21,2)</f>
        <v>894.41</v>
      </c>
      <c r="F78" s="60">
        <f>ROUND(F130/'BLS Data'!$AJ$21,2)</f>
        <v>610</v>
      </c>
      <c r="G78" s="60">
        <f>ROUND(G130/'BLS Data'!$AJ$21,2)</f>
        <v>4249.51</v>
      </c>
      <c r="H78" s="60">
        <f>ROUND(H130/'BLS Data'!$AJ$21,2)</f>
        <v>3289.2</v>
      </c>
    </row>
    <row r="79" spans="1:8">
      <c r="A79" s="56" t="s">
        <v>33</v>
      </c>
      <c r="B79" s="57">
        <v>2020</v>
      </c>
      <c r="C79" s="60">
        <f>ROUND(C131/'BLS Data'!$AJ$21,2)</f>
        <v>680.53</v>
      </c>
      <c r="D79" s="60">
        <f>ROUND(D131/'BLS Data'!$AJ$21,2)</f>
        <v>282.57</v>
      </c>
      <c r="E79" s="61" t="s">
        <v>210</v>
      </c>
      <c r="F79" s="60">
        <f>ROUND(F131/'BLS Data'!$AJ$21,2)</f>
        <v>554.70000000000005</v>
      </c>
      <c r="G79" s="60">
        <f>ROUND(G131/'BLS Data'!$AJ$21,2)</f>
        <v>1602.89</v>
      </c>
      <c r="H79" s="60">
        <f>ROUND(H131/'BLS Data'!$AJ$21,2)</f>
        <v>2009.27</v>
      </c>
    </row>
    <row r="80" spans="1:8">
      <c r="A80" s="56" t="s">
        <v>57</v>
      </c>
      <c r="B80" s="57">
        <v>2020</v>
      </c>
      <c r="C80" s="60">
        <f>ROUND(C132/'BLS Data'!$AJ$21,2)</f>
        <v>836.59</v>
      </c>
      <c r="D80" s="60">
        <f>ROUND(D132/'BLS Data'!$AJ$21,2)</f>
        <v>364.55</v>
      </c>
      <c r="E80" s="60">
        <f>ROUND(E132/'BLS Data'!$AJ$21,2)</f>
        <v>510.51</v>
      </c>
      <c r="F80" s="60">
        <f>ROUND(F132/'BLS Data'!$AJ$21,2)</f>
        <v>524.73</v>
      </c>
      <c r="G80" s="60">
        <f>ROUND(G132/'BLS Data'!$AJ$21,2)</f>
        <v>2363.63</v>
      </c>
      <c r="H80" s="60">
        <f>ROUND(H132/'BLS Data'!$AJ$21,2)</f>
        <v>1900.94</v>
      </c>
    </row>
    <row r="81" spans="1:8">
      <c r="A81" s="56" t="s">
        <v>58</v>
      </c>
      <c r="B81" s="57">
        <v>2020</v>
      </c>
      <c r="C81" s="60">
        <f>ROUND(C133/'BLS Data'!$AJ$21,2)</f>
        <v>713.36</v>
      </c>
      <c r="D81" s="60">
        <f>ROUND(D133/'BLS Data'!$AJ$21,2)</f>
        <v>358.83</v>
      </c>
      <c r="E81" s="60">
        <f>ROUND(E133/'BLS Data'!$AJ$21,2)</f>
        <v>677.93</v>
      </c>
      <c r="F81" s="60">
        <f>ROUND(F133/'BLS Data'!$AJ$21,2)</f>
        <v>648.38</v>
      </c>
      <c r="G81" s="60">
        <f>ROUND(G133/'BLS Data'!$AJ$21,2)</f>
        <v>1965.08</v>
      </c>
      <c r="H81" s="60">
        <f>ROUND(H133/'BLS Data'!$AJ$21,2)</f>
        <v>2107.58</v>
      </c>
    </row>
    <row r="82" spans="1:8">
      <c r="A82" s="56" t="s">
        <v>59</v>
      </c>
      <c r="B82" s="57">
        <v>2020</v>
      </c>
      <c r="C82" s="60">
        <f>ROUND(C134/'BLS Data'!$AJ$21,2)</f>
        <v>901.31</v>
      </c>
      <c r="D82" s="60">
        <f>ROUND(D134/'BLS Data'!$AJ$21,2)</f>
        <v>308.75</v>
      </c>
      <c r="E82" s="60">
        <f>ROUND(E134/'BLS Data'!$AJ$21,2)</f>
        <v>824.8</v>
      </c>
      <c r="F82" s="60">
        <f>ROUND(F134/'BLS Data'!$AJ$21,2)</f>
        <v>678.43</v>
      </c>
      <c r="G82" s="60">
        <f>ROUND(G134/'BLS Data'!$AJ$21,2)</f>
        <v>2574.4</v>
      </c>
      <c r="H82" s="60">
        <f>ROUND(H134/'BLS Data'!$AJ$21,2)</f>
        <v>2685.59</v>
      </c>
    </row>
    <row r="83" spans="1:8">
      <c r="A83" s="56" t="s">
        <v>60</v>
      </c>
      <c r="B83" s="57">
        <v>2020</v>
      </c>
      <c r="C83" s="60">
        <f>ROUND(C135/'BLS Data'!$AJ$21,2)</f>
        <v>519.51</v>
      </c>
      <c r="D83" s="60">
        <f>ROUND(D135/'BLS Data'!$AJ$21,2)</f>
        <v>213.38</v>
      </c>
      <c r="E83" s="60">
        <f>ROUND(E135/'BLS Data'!$AJ$21,2)</f>
        <v>545.35</v>
      </c>
      <c r="F83" s="60">
        <f>ROUND(F135/'BLS Data'!$AJ$21,2)</f>
        <v>426.83</v>
      </c>
      <c r="G83" s="60">
        <f>ROUND(G135/'BLS Data'!$AJ$21,2)</f>
        <v>1949</v>
      </c>
      <c r="H83" s="60">
        <f>ROUND(H135/'BLS Data'!$AJ$21,2)</f>
        <v>1779.23</v>
      </c>
    </row>
    <row r="84" spans="1:8">
      <c r="A84" s="56" t="s">
        <v>61</v>
      </c>
      <c r="B84" s="57">
        <v>2020</v>
      </c>
      <c r="C84" s="60">
        <f>ROUND(C136/'BLS Data'!$AJ$21,2)</f>
        <v>878.42</v>
      </c>
      <c r="D84" s="60">
        <f>ROUND(D136/'BLS Data'!$AJ$21,2)</f>
        <v>382.56</v>
      </c>
      <c r="E84" s="60">
        <f>ROUND(E136/'BLS Data'!$AJ$21,2)</f>
        <v>607.89</v>
      </c>
      <c r="F84" s="60">
        <f>ROUND(F136/'BLS Data'!$AJ$21,2)</f>
        <v>567.15</v>
      </c>
      <c r="G84" s="60">
        <f>ROUND(G136/'BLS Data'!$AJ$21,2)</f>
        <v>2664.72</v>
      </c>
      <c r="H84" s="60">
        <f>ROUND(H136/'BLS Data'!$AJ$21,2)</f>
        <v>3732.52</v>
      </c>
    </row>
    <row r="85" spans="1:8">
      <c r="A85" s="56" t="s">
        <v>62</v>
      </c>
      <c r="B85" s="57">
        <v>2020</v>
      </c>
      <c r="C85" s="60">
        <f>ROUND(C137/'BLS Data'!$AJ$21,2)</f>
        <v>863.02</v>
      </c>
      <c r="D85" s="60">
        <f>ROUND(D137/'BLS Data'!$AJ$21,2)</f>
        <v>303.27</v>
      </c>
      <c r="E85" s="60">
        <f>ROUND(E137/'BLS Data'!$AJ$21,2)</f>
        <v>606.21</v>
      </c>
      <c r="F85" s="60">
        <f>ROUND(F137/'BLS Data'!$AJ$21,2)</f>
        <v>623.89</v>
      </c>
      <c r="G85" s="60">
        <f>ROUND(G137/'BLS Data'!$AJ$21,2)</f>
        <v>3022.37</v>
      </c>
      <c r="H85" s="60">
        <f>ROUND(H137/'BLS Data'!$AJ$21,2)</f>
        <v>2143.7800000000002</v>
      </c>
    </row>
    <row r="86" spans="1:8">
      <c r="A86" s="56" t="s">
        <v>63</v>
      </c>
      <c r="B86" s="57">
        <v>2020</v>
      </c>
      <c r="C86" s="60">
        <f>ROUND(C138/'BLS Data'!$AJ$21,2)</f>
        <v>704.85</v>
      </c>
      <c r="D86" s="60">
        <f>ROUND(D138/'BLS Data'!$AJ$21,2)</f>
        <v>362.69</v>
      </c>
      <c r="E86" s="60">
        <f>ROUND(E138/'BLS Data'!$AJ$21,2)</f>
        <v>622.62</v>
      </c>
      <c r="F86" s="60">
        <f>ROUND(F138/'BLS Data'!$AJ$21,2)</f>
        <v>611.77</v>
      </c>
      <c r="G86" s="60">
        <f>ROUND(G138/'BLS Data'!$AJ$21,2)</f>
        <v>2532.4</v>
      </c>
      <c r="H86" s="60">
        <f>ROUND(H138/'BLS Data'!$AJ$21,2)</f>
        <v>2328.2800000000002</v>
      </c>
    </row>
    <row r="87" spans="1:8">
      <c r="A87" s="56" t="s">
        <v>64</v>
      </c>
      <c r="B87" s="57">
        <v>2020</v>
      </c>
      <c r="C87" s="60">
        <f>ROUND(C139/'BLS Data'!$AJ$21,2)</f>
        <v>920.75</v>
      </c>
      <c r="D87" s="60">
        <f>ROUND(D139/'BLS Data'!$AJ$21,2)</f>
        <v>281.38</v>
      </c>
      <c r="E87" s="60">
        <f>ROUND(E139/'BLS Data'!$AJ$21,2)</f>
        <v>589.54</v>
      </c>
      <c r="F87" s="60">
        <f>ROUND(F139/'BLS Data'!$AJ$21,2)</f>
        <v>505.2</v>
      </c>
      <c r="G87" s="60">
        <f>ROUND(G139/'BLS Data'!$AJ$21,2)</f>
        <v>3019.34</v>
      </c>
      <c r="H87" s="60">
        <f>ROUND(H139/'BLS Data'!$AJ$21,2)</f>
        <v>2777.43</v>
      </c>
    </row>
    <row r="88" spans="1:8">
      <c r="A88" s="56" t="s">
        <v>34</v>
      </c>
      <c r="B88" s="57">
        <v>2020</v>
      </c>
      <c r="C88" s="60">
        <f>ROUND(C140/'BLS Data'!$AJ$21,2)</f>
        <v>751.32</v>
      </c>
      <c r="D88" s="60">
        <f>ROUND(D140/'BLS Data'!$AJ$21,2)</f>
        <v>291.91000000000003</v>
      </c>
      <c r="E88" s="61" t="s">
        <v>210</v>
      </c>
      <c r="F88" s="60">
        <f>ROUND(F140/'BLS Data'!$AJ$21,2)</f>
        <v>553.34</v>
      </c>
      <c r="G88" s="60">
        <f>ROUND(G140/'BLS Data'!$AJ$21,2)</f>
        <v>1914.15</v>
      </c>
      <c r="H88" s="60">
        <f>ROUND(H140/'BLS Data'!$AJ$21,2)</f>
        <v>1764.66</v>
      </c>
    </row>
    <row r="89" spans="1:8">
      <c r="A89" s="56" t="s">
        <v>65</v>
      </c>
      <c r="B89" s="57">
        <v>2020</v>
      </c>
      <c r="C89" s="60">
        <f>ROUND(C141/'BLS Data'!$AJ$21,2)</f>
        <v>1060.49</v>
      </c>
      <c r="D89" s="60">
        <f>ROUND(D141/'BLS Data'!$AJ$21,2)</f>
        <v>357.06</v>
      </c>
      <c r="E89" s="60">
        <f>ROUND(E141/'BLS Data'!$AJ$21,2)</f>
        <v>117.5</v>
      </c>
      <c r="F89" s="60">
        <f>ROUND(F141/'BLS Data'!$AJ$21,2)</f>
        <v>472.88</v>
      </c>
      <c r="G89" s="60">
        <f>ROUND(G141/'BLS Data'!$AJ$21,2)</f>
        <v>4044.38</v>
      </c>
      <c r="H89" s="60">
        <f>ROUND(H141/'BLS Data'!$AJ$21,2)</f>
        <v>5319.51</v>
      </c>
    </row>
    <row r="90" spans="1:8">
      <c r="A90" s="56" t="s">
        <v>66</v>
      </c>
      <c r="B90" s="57">
        <v>2020</v>
      </c>
      <c r="C90" s="60">
        <f>ROUND(C142/'BLS Data'!$AJ$21,2)</f>
        <v>804.34</v>
      </c>
      <c r="D90" s="60">
        <f>ROUND(D142/'BLS Data'!$AJ$21,2)</f>
        <v>300.92</v>
      </c>
      <c r="E90" s="60">
        <f>ROUND(E142/'BLS Data'!$AJ$21,2)</f>
        <v>673.79</v>
      </c>
      <c r="F90" s="60">
        <f>ROUND(F142/'BLS Data'!$AJ$21,2)</f>
        <v>519.6</v>
      </c>
      <c r="G90" s="60">
        <f>ROUND(G142/'BLS Data'!$AJ$21,2)</f>
        <v>2293.1</v>
      </c>
      <c r="H90" s="60">
        <f>ROUND(H142/'BLS Data'!$AJ$21,2)</f>
        <v>2585.0100000000002</v>
      </c>
    </row>
    <row r="91" spans="1:8">
      <c r="A91" s="56" t="s">
        <v>67</v>
      </c>
      <c r="B91" s="57">
        <v>2020</v>
      </c>
      <c r="C91" s="60">
        <f>ROUND(C143/'BLS Data'!$AJ$21,2)</f>
        <v>591.05999999999995</v>
      </c>
      <c r="D91" s="60">
        <f>ROUND(D143/'BLS Data'!$AJ$21,2)</f>
        <v>327.01</v>
      </c>
      <c r="E91" s="60">
        <f>ROUND(E143/'BLS Data'!$AJ$21,2)</f>
        <v>460.67</v>
      </c>
      <c r="F91" s="60">
        <f>ROUND(F143/'BLS Data'!$AJ$21,2)</f>
        <v>445.01</v>
      </c>
      <c r="G91" s="60">
        <f>ROUND(G143/'BLS Data'!$AJ$21,2)</f>
        <v>1597.75</v>
      </c>
      <c r="H91" s="60">
        <f>ROUND(H143/'BLS Data'!$AJ$21,2)</f>
        <v>1441.53</v>
      </c>
    </row>
    <row r="92" spans="1:8">
      <c r="A92" s="56" t="s">
        <v>68</v>
      </c>
      <c r="B92" s="57">
        <v>2020</v>
      </c>
      <c r="C92" s="60">
        <f>ROUND(C144/'BLS Data'!$AJ$21,2)</f>
        <v>928</v>
      </c>
      <c r="D92" s="60">
        <f>ROUND(D144/'BLS Data'!$AJ$21,2)</f>
        <v>358.4</v>
      </c>
      <c r="E92" s="60">
        <f>ROUND(E144/'BLS Data'!$AJ$21,2)</f>
        <v>680.7</v>
      </c>
      <c r="F92" s="60">
        <f>ROUND(F144/'BLS Data'!$AJ$21,2)</f>
        <v>904.51</v>
      </c>
      <c r="G92" s="60">
        <f>ROUND(G144/'BLS Data'!$AJ$21,2)</f>
        <v>2586.27</v>
      </c>
      <c r="H92" s="60">
        <f>ROUND(H144/'BLS Data'!$AJ$21,2)</f>
        <v>4382.42</v>
      </c>
    </row>
    <row r="93" spans="1:8">
      <c r="A93" s="56" t="s">
        <v>69</v>
      </c>
      <c r="B93" s="57">
        <v>2020</v>
      </c>
      <c r="C93" s="60">
        <f>ROUND(C145/'BLS Data'!$AJ$21,2)</f>
        <v>1023.87</v>
      </c>
      <c r="D93" s="60">
        <f>ROUND(D145/'BLS Data'!$AJ$21,2)</f>
        <v>366.65</v>
      </c>
      <c r="E93" s="60">
        <f>ROUND(E145/'BLS Data'!$AJ$21,2)</f>
        <v>639.20000000000005</v>
      </c>
      <c r="F93" s="60">
        <f>ROUND(F145/'BLS Data'!$AJ$21,2)</f>
        <v>583.9</v>
      </c>
      <c r="G93" s="60">
        <f>ROUND(G145/'BLS Data'!$AJ$21,2)</f>
        <v>2289.8200000000002</v>
      </c>
      <c r="H93" s="60">
        <f>ROUND(H145/'BLS Data'!$AJ$21,2)</f>
        <v>2905.96</v>
      </c>
    </row>
    <row r="94" spans="1:8">
      <c r="A94" s="56" t="s">
        <v>70</v>
      </c>
      <c r="B94" s="57">
        <v>2020</v>
      </c>
      <c r="C94" s="60">
        <f>ROUND(C146/'BLS Data'!$AJ$21,2)</f>
        <v>783.73</v>
      </c>
      <c r="D94" s="60">
        <f>ROUND(D146/'BLS Data'!$AJ$21,2)</f>
        <v>583.74</v>
      </c>
      <c r="E94" s="60">
        <f>ROUND(E146/'BLS Data'!$AJ$21,2)</f>
        <v>628.59</v>
      </c>
      <c r="F94" s="60">
        <f>ROUND(F146/'BLS Data'!$AJ$21,2)</f>
        <v>444.18</v>
      </c>
      <c r="G94" s="60">
        <f>ROUND(G146/'BLS Data'!$AJ$21,2)</f>
        <v>2029.05</v>
      </c>
      <c r="H94" s="60">
        <f>ROUND(H146/'BLS Data'!$AJ$21,2)</f>
        <v>1125.46</v>
      </c>
    </row>
    <row r="95" spans="1:8">
      <c r="A95" s="56" t="s">
        <v>35</v>
      </c>
      <c r="B95" s="57">
        <v>2020</v>
      </c>
      <c r="C95" s="60">
        <f>ROUND(C147/'BLS Data'!$AJ$21,2)</f>
        <v>520.26</v>
      </c>
      <c r="D95" s="60">
        <f>ROUND(D147/'BLS Data'!$AJ$21,2)</f>
        <v>217.59</v>
      </c>
      <c r="E95" s="61" t="s">
        <v>210</v>
      </c>
      <c r="F95" s="60">
        <f>ROUND(F147/'BLS Data'!$AJ$21,2)</f>
        <v>394.94</v>
      </c>
      <c r="G95" s="60">
        <f>ROUND(G147/'BLS Data'!$AJ$21,2)</f>
        <v>1433.71</v>
      </c>
      <c r="H95" s="60">
        <f>ROUND(H147/'BLS Data'!$AJ$21,2)</f>
        <v>1170.33</v>
      </c>
    </row>
    <row r="96" spans="1:8">
      <c r="A96" s="56" t="s">
        <v>71</v>
      </c>
      <c r="B96" s="57">
        <v>2020</v>
      </c>
      <c r="C96" s="60">
        <f>ROUND(C148/'BLS Data'!$AJ$21,2)</f>
        <v>746.52</v>
      </c>
      <c r="D96" s="60">
        <f>ROUND(D148/'BLS Data'!$AJ$21,2)</f>
        <v>245.02</v>
      </c>
      <c r="E96" s="61" t="s">
        <v>210</v>
      </c>
      <c r="F96" s="60">
        <f>ROUND(F148/'BLS Data'!$AJ$21,2)</f>
        <v>522.71</v>
      </c>
      <c r="G96" s="60">
        <f>ROUND(G148/'BLS Data'!$AJ$21,2)</f>
        <v>2451.6799999999998</v>
      </c>
      <c r="H96" s="60">
        <f>ROUND(H148/'BLS Data'!$AJ$21,2)</f>
        <v>2369.86</v>
      </c>
    </row>
    <row r="97" spans="1:8">
      <c r="A97" s="56" t="s">
        <v>36</v>
      </c>
      <c r="B97" s="57">
        <v>2020</v>
      </c>
      <c r="C97" s="60">
        <f>ROUND(C149/'BLS Data'!$AJ$21,2)</f>
        <v>586.51</v>
      </c>
      <c r="D97" s="60">
        <f>ROUND(D149/'BLS Data'!$AJ$21,2)</f>
        <v>310.42</v>
      </c>
      <c r="E97" s="61" t="s">
        <v>210</v>
      </c>
      <c r="F97" s="60">
        <f>ROUND(F149/'BLS Data'!$AJ$21,2)</f>
        <v>435.84</v>
      </c>
      <c r="G97" s="60">
        <f>ROUND(G149/'BLS Data'!$AJ$21,2)</f>
        <v>1421.49</v>
      </c>
      <c r="H97" s="60">
        <f>ROUND(H149/'BLS Data'!$AJ$21,2)</f>
        <v>2060.5300000000002</v>
      </c>
    </row>
    <row r="98" spans="1:8">
      <c r="A98" s="56" t="s">
        <v>37</v>
      </c>
      <c r="B98" s="57">
        <v>2020</v>
      </c>
      <c r="C98" s="60">
        <f>ROUND(C150/'BLS Data'!$AJ$21,2)</f>
        <v>708.89</v>
      </c>
      <c r="D98" s="60">
        <f>ROUND(D150/'BLS Data'!$AJ$21,2)</f>
        <v>313.04000000000002</v>
      </c>
      <c r="E98" s="60">
        <f>ROUND(E150/'BLS Data'!$AJ$21,2)</f>
        <v>238.29</v>
      </c>
      <c r="F98" s="60">
        <f>ROUND(F150/'BLS Data'!$AJ$21,2)</f>
        <v>709.07</v>
      </c>
      <c r="G98" s="60">
        <f>ROUND(G150/'BLS Data'!$AJ$21,2)</f>
        <v>2234.94</v>
      </c>
      <c r="H98" s="60">
        <f>ROUND(H150/'BLS Data'!$AJ$21,2)</f>
        <v>2119.4499999999998</v>
      </c>
    </row>
    <row r="99" spans="1:8">
      <c r="A99" s="56" t="s">
        <v>72</v>
      </c>
      <c r="B99" s="57">
        <v>2020</v>
      </c>
      <c r="C99" s="60">
        <f>ROUND(C151/'BLS Data'!$AJ$21,2)</f>
        <v>766.72</v>
      </c>
      <c r="D99" s="60">
        <f>ROUND(D151/'BLS Data'!$AJ$21,2)</f>
        <v>309.92</v>
      </c>
      <c r="E99" s="60">
        <f>ROUND(E151/'BLS Data'!$AJ$21,2)</f>
        <v>705.78</v>
      </c>
      <c r="F99" s="60">
        <f>ROUND(F151/'BLS Data'!$AJ$21,2)</f>
        <v>641.14</v>
      </c>
      <c r="G99" s="60">
        <f>ROUND(G151/'BLS Data'!$AJ$21,2)</f>
        <v>2428.2800000000002</v>
      </c>
      <c r="H99" s="60">
        <f>ROUND(H151/'BLS Data'!$AJ$21,2)</f>
        <v>1888.82</v>
      </c>
    </row>
    <row r="100" spans="1:8">
      <c r="A100" s="56" t="s">
        <v>73</v>
      </c>
      <c r="B100" s="57">
        <v>2020</v>
      </c>
      <c r="C100" s="60">
        <f>ROUND(C152/'BLS Data'!$AJ$21,2)</f>
        <v>0</v>
      </c>
      <c r="D100" s="60">
        <f>ROUND(D152/'BLS Data'!$AJ$21,2)</f>
        <v>0</v>
      </c>
      <c r="E100" s="60">
        <f>ROUND(E152/'BLS Data'!$AJ$21,2)</f>
        <v>0</v>
      </c>
      <c r="F100" s="60">
        <f>ROUND(F152/'BLS Data'!$AJ$21,2)</f>
        <v>0</v>
      </c>
      <c r="G100" s="60">
        <f>ROUND(G152/'BLS Data'!$AJ$21,2)</f>
        <v>0</v>
      </c>
      <c r="H100" s="60">
        <f>ROUND(H152/'BLS Data'!$AJ$21,2)</f>
        <v>0</v>
      </c>
    </row>
    <row r="101" spans="1:8">
      <c r="A101" s="56" t="s">
        <v>74</v>
      </c>
      <c r="B101" s="57">
        <v>2020</v>
      </c>
      <c r="C101" s="60">
        <f>ROUND(C153/'BLS Data'!$AJ$21,2)</f>
        <v>859.9</v>
      </c>
      <c r="D101" s="60">
        <f>ROUND(D153/'BLS Data'!$AJ$21,2)</f>
        <v>320.52</v>
      </c>
      <c r="E101" s="60">
        <f>ROUND(E153/'BLS Data'!$AJ$21,2)</f>
        <v>709.65</v>
      </c>
      <c r="F101" s="60">
        <f>ROUND(F153/'BLS Data'!$AJ$21,2)</f>
        <v>479.45</v>
      </c>
      <c r="G101" s="60">
        <f>ROUND(G153/'BLS Data'!$AJ$21,2)</f>
        <v>3057.97</v>
      </c>
      <c r="H101" s="60">
        <f>ROUND(H153/'BLS Data'!$AJ$21,2)</f>
        <v>2266.41</v>
      </c>
    </row>
    <row r="102" spans="1:8">
      <c r="A102" s="56" t="s">
        <v>75</v>
      </c>
      <c r="B102" s="57">
        <v>2020</v>
      </c>
      <c r="C102" s="60">
        <f>ROUND(C154/'BLS Data'!$AJ$21,2)</f>
        <v>953.58</v>
      </c>
      <c r="D102" s="60">
        <f>ROUND(D154/'BLS Data'!$AJ$21,2)</f>
        <v>357.82</v>
      </c>
      <c r="E102" s="60">
        <f>ROUND(E154/'BLS Data'!$AJ$21,2)</f>
        <v>920.85</v>
      </c>
      <c r="F102" s="60">
        <f>ROUND(F154/'BLS Data'!$AJ$21,2)</f>
        <v>869.49</v>
      </c>
      <c r="G102" s="60">
        <f>ROUND(G154/'BLS Data'!$AJ$21,2)</f>
        <v>3158.05</v>
      </c>
      <c r="H102" s="60">
        <f>ROUND(H154/'BLS Data'!$AJ$21,2)</f>
        <v>2691.99</v>
      </c>
    </row>
    <row r="103" spans="1:8">
      <c r="A103" s="56" t="s">
        <v>76</v>
      </c>
      <c r="B103" s="57">
        <v>2020</v>
      </c>
      <c r="C103" s="60">
        <f>ROUND(C155/'BLS Data'!$AJ$21,2)</f>
        <v>697.7</v>
      </c>
      <c r="D103" s="60">
        <f>ROUND(D155/'BLS Data'!$AJ$21,2)</f>
        <v>296.2</v>
      </c>
      <c r="E103" s="60">
        <f>ROUND(E155/'BLS Data'!$AJ$21,2)</f>
        <v>546.95000000000005</v>
      </c>
      <c r="F103" s="60">
        <f>ROUND(F155/'BLS Data'!$AJ$21,2)</f>
        <v>581.21</v>
      </c>
      <c r="G103" s="60">
        <f>ROUND(G155/'BLS Data'!$AJ$21,2)</f>
        <v>1455.08</v>
      </c>
      <c r="H103" s="60">
        <f>ROUND(H155/'BLS Data'!$AJ$21,2)</f>
        <v>2859.07</v>
      </c>
    </row>
    <row r="104" spans="1:8">
      <c r="A104" s="56" t="s">
        <v>77</v>
      </c>
      <c r="B104" s="57">
        <v>2020</v>
      </c>
      <c r="C104" s="60">
        <f>ROUND(C156/'BLS Data'!$AJ$21,2)</f>
        <v>691.98</v>
      </c>
      <c r="D104" s="60">
        <f>ROUND(D156/'BLS Data'!$AJ$21,2)</f>
        <v>259.92</v>
      </c>
      <c r="E104" s="61" t="s">
        <v>210</v>
      </c>
      <c r="F104" s="60">
        <f>ROUND(F156/'BLS Data'!$AJ$21,2)</f>
        <v>447.21</v>
      </c>
      <c r="G104" s="60">
        <f>ROUND(G156/'BLS Data'!$AJ$21,2)</f>
        <v>1923.84</v>
      </c>
      <c r="H104" s="60">
        <f>ROUND(H156/'BLS Data'!$AJ$21,2)</f>
        <v>1396.59</v>
      </c>
    </row>
    <row r="105" spans="1:8">
      <c r="A105" s="56" t="s">
        <v>78</v>
      </c>
      <c r="B105" s="57">
        <v>2020</v>
      </c>
      <c r="C105" s="60">
        <f>ROUND(C157/'BLS Data'!$AJ$21,2)</f>
        <v>761.08</v>
      </c>
      <c r="D105" s="60">
        <f>ROUND(D157/'BLS Data'!$AJ$21,2)</f>
        <v>275.67</v>
      </c>
      <c r="E105" s="61" t="s">
        <v>210</v>
      </c>
      <c r="F105" s="60">
        <f>ROUND(F157/'BLS Data'!$AJ$21,2)</f>
        <v>524.65</v>
      </c>
      <c r="G105" s="60">
        <f>ROUND(G157/'BLS Data'!$AJ$21,2)</f>
        <v>2246.0500000000002</v>
      </c>
      <c r="H105" s="60">
        <f>ROUND(H157/'BLS Data'!$AJ$21,2)</f>
        <v>2931.88</v>
      </c>
    </row>
    <row r="106" spans="1:8">
      <c r="A106" s="56" t="s">
        <v>214</v>
      </c>
      <c r="B106" s="57">
        <v>2021</v>
      </c>
      <c r="C106" s="60">
        <v>768.5</v>
      </c>
      <c r="D106" s="60">
        <v>300.75</v>
      </c>
      <c r="E106" s="60">
        <v>628.83000000000004</v>
      </c>
      <c r="F106" s="60">
        <v>535.08000000000004</v>
      </c>
      <c r="G106" s="60">
        <v>2241.5</v>
      </c>
      <c r="H106" s="60">
        <v>2030.83</v>
      </c>
    </row>
    <row r="107" spans="1:8">
      <c r="A107" s="56" t="s">
        <v>19</v>
      </c>
      <c r="B107" s="57">
        <v>2021</v>
      </c>
      <c r="C107" s="60">
        <v>573.58000000000004</v>
      </c>
      <c r="D107" s="60">
        <v>221.17</v>
      </c>
      <c r="E107" s="61" t="s">
        <v>210</v>
      </c>
      <c r="F107" s="60">
        <v>421.5</v>
      </c>
      <c r="G107" s="60">
        <v>1461.92</v>
      </c>
      <c r="H107" s="60">
        <v>2030.83</v>
      </c>
    </row>
    <row r="108" spans="1:8">
      <c r="A108" s="56" t="s">
        <v>38</v>
      </c>
      <c r="B108" s="57">
        <v>2021</v>
      </c>
      <c r="C108" s="60">
        <v>760.75</v>
      </c>
      <c r="D108" s="60">
        <v>428</v>
      </c>
      <c r="E108" s="60">
        <v>687.25</v>
      </c>
      <c r="F108" s="60">
        <v>594.08000000000004</v>
      </c>
      <c r="G108" s="60">
        <v>2738.67</v>
      </c>
      <c r="H108" s="60">
        <v>1908.75</v>
      </c>
    </row>
    <row r="109" spans="1:8">
      <c r="A109" s="56" t="s">
        <v>39</v>
      </c>
      <c r="B109" s="57">
        <v>2021</v>
      </c>
      <c r="C109" s="60">
        <v>747.17</v>
      </c>
      <c r="D109" s="60">
        <v>300.17</v>
      </c>
      <c r="E109" s="60">
        <v>805.17</v>
      </c>
      <c r="F109" s="60">
        <v>580.41999999999996</v>
      </c>
      <c r="G109" s="60">
        <v>2651.58</v>
      </c>
      <c r="H109" s="60">
        <v>1045.67</v>
      </c>
    </row>
    <row r="110" spans="1:8">
      <c r="A110" s="56" t="s">
        <v>28</v>
      </c>
      <c r="B110" s="57">
        <v>2021</v>
      </c>
      <c r="C110" s="60">
        <v>657.5</v>
      </c>
      <c r="D110" s="60">
        <v>340.17</v>
      </c>
      <c r="E110" s="60">
        <v>602.25</v>
      </c>
      <c r="F110" s="60">
        <v>498.92</v>
      </c>
      <c r="G110" s="60">
        <v>1567.17</v>
      </c>
      <c r="H110" s="60">
        <v>1831.08</v>
      </c>
    </row>
    <row r="111" spans="1:8">
      <c r="A111" s="56" t="s">
        <v>40</v>
      </c>
      <c r="B111" s="57">
        <v>2021</v>
      </c>
      <c r="C111" s="60">
        <v>738</v>
      </c>
      <c r="D111" s="60">
        <v>307.75</v>
      </c>
      <c r="E111" s="60">
        <v>521.16999999999996</v>
      </c>
      <c r="F111" s="60">
        <v>549.58000000000004</v>
      </c>
      <c r="G111" s="60">
        <v>2650.83</v>
      </c>
      <c r="H111" s="60">
        <v>1449.92</v>
      </c>
    </row>
    <row r="112" spans="1:8">
      <c r="A112" s="56" t="s">
        <v>41</v>
      </c>
      <c r="B112" s="57">
        <v>2021</v>
      </c>
      <c r="C112" s="60">
        <v>639</v>
      </c>
      <c r="D112" s="60">
        <v>259.25</v>
      </c>
      <c r="E112" s="60">
        <v>481</v>
      </c>
      <c r="F112" s="60">
        <v>480.08</v>
      </c>
      <c r="G112" s="60">
        <v>2807.67</v>
      </c>
      <c r="H112" s="60">
        <v>2573.42</v>
      </c>
    </row>
    <row r="113" spans="1:8">
      <c r="A113" s="56" t="s">
        <v>42</v>
      </c>
      <c r="B113" s="57">
        <v>2021</v>
      </c>
      <c r="C113" s="60">
        <v>774.67</v>
      </c>
      <c r="D113" s="60">
        <v>298.75</v>
      </c>
      <c r="E113" s="60">
        <v>613.5</v>
      </c>
      <c r="F113" s="60">
        <v>484.92</v>
      </c>
      <c r="G113" s="60">
        <v>4689.67</v>
      </c>
      <c r="H113" s="60">
        <v>3650.25</v>
      </c>
    </row>
    <row r="114" spans="1:8">
      <c r="A114" s="56" t="s">
        <v>43</v>
      </c>
      <c r="B114" s="57">
        <v>2021</v>
      </c>
      <c r="C114" s="60">
        <v>827.25</v>
      </c>
      <c r="D114" s="60">
        <v>380.75</v>
      </c>
      <c r="E114" s="60">
        <v>672.67</v>
      </c>
      <c r="F114" s="60">
        <v>780</v>
      </c>
      <c r="G114" s="60">
        <v>2856.17</v>
      </c>
      <c r="H114" s="60">
        <v>3192.42</v>
      </c>
    </row>
    <row r="115" spans="1:8">
      <c r="A115" s="56" t="s">
        <v>44</v>
      </c>
      <c r="B115" s="57">
        <v>2021</v>
      </c>
      <c r="C115" s="60">
        <v>1078.08</v>
      </c>
      <c r="D115" s="60">
        <v>393.5</v>
      </c>
      <c r="E115" s="60">
        <v>603.5</v>
      </c>
      <c r="F115" s="60">
        <v>590.41999999999996</v>
      </c>
      <c r="G115" s="60">
        <v>3600.67</v>
      </c>
      <c r="H115" s="60">
        <v>3262.67</v>
      </c>
    </row>
    <row r="116" spans="1:8">
      <c r="A116" s="56" t="s">
        <v>30</v>
      </c>
      <c r="B116" s="57">
        <v>2021</v>
      </c>
      <c r="C116" s="60">
        <v>512.91999999999996</v>
      </c>
      <c r="D116" s="60">
        <v>210.08</v>
      </c>
      <c r="E116" s="61" t="s">
        <v>210</v>
      </c>
      <c r="F116" s="60">
        <v>319.42</v>
      </c>
      <c r="G116" s="60">
        <v>1512.58</v>
      </c>
      <c r="H116" s="60">
        <v>1461.08</v>
      </c>
    </row>
    <row r="117" spans="1:8">
      <c r="A117" s="56" t="s">
        <v>31</v>
      </c>
      <c r="B117" s="57">
        <v>2021</v>
      </c>
      <c r="C117" s="60">
        <v>488.33</v>
      </c>
      <c r="D117" s="60">
        <v>206.92</v>
      </c>
      <c r="E117" s="61" t="s">
        <v>210</v>
      </c>
      <c r="F117" s="60">
        <v>409.92</v>
      </c>
      <c r="G117" s="60">
        <v>1377.17</v>
      </c>
      <c r="H117" s="60">
        <v>1744</v>
      </c>
    </row>
    <row r="118" spans="1:8">
      <c r="A118" s="56" t="s">
        <v>45</v>
      </c>
      <c r="B118" s="57">
        <v>2021</v>
      </c>
      <c r="C118" s="60">
        <v>607</v>
      </c>
      <c r="D118" s="60">
        <v>305.25</v>
      </c>
      <c r="E118" s="60">
        <v>517.41999999999996</v>
      </c>
      <c r="F118" s="60">
        <v>457.42</v>
      </c>
      <c r="G118" s="60">
        <v>2296.67</v>
      </c>
      <c r="H118" s="60">
        <v>1366.17</v>
      </c>
    </row>
    <row r="119" spans="1:8">
      <c r="A119" s="56" t="s">
        <v>46</v>
      </c>
      <c r="B119" s="57">
        <v>2021</v>
      </c>
      <c r="C119" s="60">
        <v>655.58</v>
      </c>
      <c r="D119" s="60">
        <v>263.17</v>
      </c>
      <c r="E119" s="60">
        <v>512</v>
      </c>
      <c r="F119" s="60">
        <v>533.08000000000004</v>
      </c>
      <c r="G119" s="60">
        <v>2178.25</v>
      </c>
      <c r="H119" s="60">
        <v>1758.33</v>
      </c>
    </row>
    <row r="120" spans="1:8">
      <c r="A120" s="56" t="s">
        <v>47</v>
      </c>
      <c r="B120" s="57">
        <v>2021</v>
      </c>
      <c r="C120" s="60">
        <v>731.25</v>
      </c>
      <c r="D120" s="60">
        <v>346.17</v>
      </c>
      <c r="E120" s="60">
        <v>655.16999999999996</v>
      </c>
      <c r="F120" s="60">
        <v>506.83</v>
      </c>
      <c r="G120" s="60">
        <v>1451.67</v>
      </c>
      <c r="H120" s="60">
        <v>1838.17</v>
      </c>
    </row>
    <row r="121" spans="1:8">
      <c r="A121" s="56" t="s">
        <v>48</v>
      </c>
      <c r="B121" s="57">
        <v>2021</v>
      </c>
      <c r="C121" s="60">
        <v>786.5</v>
      </c>
      <c r="D121" s="60">
        <v>244.67</v>
      </c>
      <c r="E121" s="60">
        <v>763.17</v>
      </c>
      <c r="F121" s="60">
        <v>891.33</v>
      </c>
      <c r="G121" s="60">
        <v>1895.75</v>
      </c>
      <c r="H121" s="60">
        <v>2802.75</v>
      </c>
    </row>
    <row r="122" spans="1:8">
      <c r="A122" s="56" t="s">
        <v>49</v>
      </c>
      <c r="B122" s="57">
        <v>2021</v>
      </c>
      <c r="C122" s="60">
        <v>711.08</v>
      </c>
      <c r="D122" s="60">
        <v>259.17</v>
      </c>
      <c r="E122" s="60">
        <v>548.41999999999996</v>
      </c>
      <c r="F122" s="60">
        <v>527.33000000000004</v>
      </c>
      <c r="G122" s="60">
        <v>2262.42</v>
      </c>
      <c r="H122" s="60">
        <v>2557.67</v>
      </c>
    </row>
    <row r="123" spans="1:8">
      <c r="A123" s="56" t="s">
        <v>50</v>
      </c>
      <c r="B123" s="57">
        <v>2021</v>
      </c>
      <c r="C123" s="60">
        <v>845.58</v>
      </c>
      <c r="D123" s="60">
        <v>304.42</v>
      </c>
      <c r="E123" s="61" t="s">
        <v>210</v>
      </c>
      <c r="F123" s="60">
        <v>543.41999999999996</v>
      </c>
      <c r="G123" s="60">
        <v>2354.58</v>
      </c>
      <c r="H123" s="60">
        <v>2734.75</v>
      </c>
    </row>
    <row r="124" spans="1:8">
      <c r="A124" s="56" t="s">
        <v>51</v>
      </c>
      <c r="B124" s="57">
        <v>2021</v>
      </c>
      <c r="C124" s="60">
        <v>782.5</v>
      </c>
      <c r="D124" s="60">
        <v>383.08</v>
      </c>
      <c r="E124" s="60">
        <v>671.42</v>
      </c>
      <c r="F124" s="60">
        <v>684.75</v>
      </c>
      <c r="G124" s="60">
        <v>1968</v>
      </c>
      <c r="H124" s="60">
        <v>1977.33</v>
      </c>
    </row>
    <row r="125" spans="1:8">
      <c r="A125" s="56" t="s">
        <v>32</v>
      </c>
      <c r="B125" s="57">
        <v>2021</v>
      </c>
      <c r="C125" s="60">
        <v>641.33000000000004</v>
      </c>
      <c r="D125" s="60">
        <v>268.83</v>
      </c>
      <c r="E125" s="60">
        <v>596.58000000000004</v>
      </c>
      <c r="F125" s="60">
        <v>562.08000000000004</v>
      </c>
      <c r="G125" s="60">
        <v>1605.33</v>
      </c>
      <c r="H125" s="60">
        <v>1547.42</v>
      </c>
    </row>
    <row r="126" spans="1:8">
      <c r="A126" s="56" t="s">
        <v>52</v>
      </c>
      <c r="B126" s="57">
        <v>2021</v>
      </c>
      <c r="C126" s="60">
        <v>902.25</v>
      </c>
      <c r="D126" s="60">
        <v>409.92</v>
      </c>
      <c r="E126" s="60">
        <v>550.5</v>
      </c>
      <c r="F126" s="60">
        <v>474.92</v>
      </c>
      <c r="G126" s="60">
        <v>2204.33</v>
      </c>
      <c r="H126" s="60">
        <v>2057.42</v>
      </c>
    </row>
    <row r="127" spans="1:8">
      <c r="A127" s="56" t="s">
        <v>53</v>
      </c>
      <c r="B127" s="57">
        <v>2021</v>
      </c>
      <c r="C127" s="60">
        <v>800.33</v>
      </c>
      <c r="D127" s="60">
        <v>298.17</v>
      </c>
      <c r="E127" s="60">
        <v>730.67</v>
      </c>
      <c r="F127" s="60">
        <v>540.16999999999996</v>
      </c>
      <c r="G127" s="60">
        <v>2880.25</v>
      </c>
      <c r="H127" s="60">
        <v>3032.58</v>
      </c>
    </row>
    <row r="128" spans="1:8">
      <c r="A128" s="56" t="s">
        <v>54</v>
      </c>
      <c r="B128" s="57">
        <v>2021</v>
      </c>
      <c r="C128" s="60">
        <v>994.92</v>
      </c>
      <c r="D128" s="60">
        <v>376.42</v>
      </c>
      <c r="E128" s="60">
        <v>671.67</v>
      </c>
      <c r="F128" s="60">
        <v>509.42</v>
      </c>
      <c r="G128" s="60">
        <v>1821.5</v>
      </c>
      <c r="H128" s="60">
        <v>2314.5</v>
      </c>
    </row>
    <row r="129" spans="1:8">
      <c r="A129" s="56" t="s">
        <v>55</v>
      </c>
      <c r="B129" s="57">
        <v>2021</v>
      </c>
      <c r="C129" s="60">
        <v>633</v>
      </c>
      <c r="D129" s="60">
        <v>231.5</v>
      </c>
      <c r="E129" s="60">
        <v>543.41999999999996</v>
      </c>
      <c r="F129" s="60">
        <v>441.58</v>
      </c>
      <c r="G129" s="60">
        <v>1646.42</v>
      </c>
      <c r="H129" s="60">
        <v>1951.17</v>
      </c>
    </row>
    <row r="130" spans="1:8">
      <c r="A130" s="56" t="s">
        <v>56</v>
      </c>
      <c r="B130" s="57">
        <v>2021</v>
      </c>
      <c r="C130" s="60">
        <v>1035.83</v>
      </c>
      <c r="D130" s="60">
        <v>331.75</v>
      </c>
      <c r="E130" s="60">
        <v>885.5</v>
      </c>
      <c r="F130" s="60">
        <v>603.91999999999996</v>
      </c>
      <c r="G130" s="60">
        <v>4207.17</v>
      </c>
      <c r="H130" s="60">
        <v>3256.42</v>
      </c>
    </row>
    <row r="131" spans="1:8">
      <c r="A131" s="56" t="s">
        <v>33</v>
      </c>
      <c r="B131" s="57">
        <v>2021</v>
      </c>
      <c r="C131" s="60">
        <v>673.75</v>
      </c>
      <c r="D131" s="60">
        <v>279.75</v>
      </c>
      <c r="E131" s="61" t="s">
        <v>210</v>
      </c>
      <c r="F131" s="60">
        <v>549.16999999999996</v>
      </c>
      <c r="G131" s="60">
        <v>1586.92</v>
      </c>
      <c r="H131" s="60">
        <v>1989.25</v>
      </c>
    </row>
    <row r="132" spans="1:8">
      <c r="A132" s="56" t="s">
        <v>57</v>
      </c>
      <c r="B132" s="57">
        <v>2021</v>
      </c>
      <c r="C132" s="60">
        <v>828.25</v>
      </c>
      <c r="D132" s="60">
        <v>360.92</v>
      </c>
      <c r="E132" s="60">
        <v>505.42</v>
      </c>
      <c r="F132" s="60">
        <v>519.5</v>
      </c>
      <c r="G132" s="60">
        <v>2340.08</v>
      </c>
      <c r="H132" s="60">
        <v>1882</v>
      </c>
    </row>
    <row r="133" spans="1:8">
      <c r="A133" s="56" t="s">
        <v>58</v>
      </c>
      <c r="B133" s="57">
        <v>2021</v>
      </c>
      <c r="C133" s="60">
        <v>706.25</v>
      </c>
      <c r="D133" s="60">
        <v>355.25</v>
      </c>
      <c r="E133" s="60">
        <v>671.17</v>
      </c>
      <c r="F133" s="60">
        <v>641.91999999999996</v>
      </c>
      <c r="G133" s="60">
        <v>1945.5</v>
      </c>
      <c r="H133" s="60">
        <v>2086.58</v>
      </c>
    </row>
    <row r="134" spans="1:8">
      <c r="A134" s="56" t="s">
        <v>59</v>
      </c>
      <c r="B134" s="57">
        <v>2021</v>
      </c>
      <c r="C134" s="60">
        <v>892.33</v>
      </c>
      <c r="D134" s="60">
        <v>305.67</v>
      </c>
      <c r="E134" s="60">
        <v>816.58</v>
      </c>
      <c r="F134" s="60">
        <v>671.67</v>
      </c>
      <c r="G134" s="60">
        <v>2548.75</v>
      </c>
      <c r="H134" s="60">
        <v>2658.83</v>
      </c>
    </row>
    <row r="135" spans="1:8">
      <c r="A135" s="56" t="s">
        <v>60</v>
      </c>
      <c r="B135" s="57">
        <v>2021</v>
      </c>
      <c r="C135" s="60">
        <v>514.33000000000004</v>
      </c>
      <c r="D135" s="60">
        <v>211.25</v>
      </c>
      <c r="E135" s="60">
        <v>539.91999999999996</v>
      </c>
      <c r="F135" s="60">
        <v>422.58</v>
      </c>
      <c r="G135" s="60">
        <v>1929.58</v>
      </c>
      <c r="H135" s="60">
        <v>1761.5</v>
      </c>
    </row>
    <row r="136" spans="1:8">
      <c r="A136" s="56" t="s">
        <v>61</v>
      </c>
      <c r="B136" s="57">
        <v>2021</v>
      </c>
      <c r="C136" s="60">
        <v>869.67</v>
      </c>
      <c r="D136" s="60">
        <v>378.75</v>
      </c>
      <c r="E136" s="60">
        <v>601.83000000000004</v>
      </c>
      <c r="F136" s="60">
        <v>561.5</v>
      </c>
      <c r="G136" s="60">
        <v>2638.17</v>
      </c>
      <c r="H136" s="60">
        <v>3695.33</v>
      </c>
    </row>
    <row r="137" spans="1:8">
      <c r="A137" s="56" t="s">
        <v>62</v>
      </c>
      <c r="B137" s="57">
        <v>2021</v>
      </c>
      <c r="C137" s="60">
        <v>854.42</v>
      </c>
      <c r="D137" s="60">
        <v>300.25</v>
      </c>
      <c r="E137" s="60">
        <v>600.16999999999996</v>
      </c>
      <c r="F137" s="60">
        <v>617.66999999999996</v>
      </c>
      <c r="G137" s="60">
        <v>2992.25</v>
      </c>
      <c r="H137" s="60">
        <v>2122.42</v>
      </c>
    </row>
    <row r="138" spans="1:8">
      <c r="A138" s="56" t="s">
        <v>63</v>
      </c>
      <c r="B138" s="57">
        <v>2021</v>
      </c>
      <c r="C138" s="60">
        <v>697.83</v>
      </c>
      <c r="D138" s="60">
        <v>359.08</v>
      </c>
      <c r="E138" s="60">
        <v>616.41999999999996</v>
      </c>
      <c r="F138" s="60">
        <v>605.66999999999996</v>
      </c>
      <c r="G138" s="60">
        <v>2507.17</v>
      </c>
      <c r="H138" s="60">
        <v>2305.08</v>
      </c>
    </row>
    <row r="139" spans="1:8">
      <c r="A139" s="56" t="s">
        <v>64</v>
      </c>
      <c r="B139" s="57">
        <v>2021</v>
      </c>
      <c r="C139" s="60">
        <v>911.58</v>
      </c>
      <c r="D139" s="60">
        <v>278.58</v>
      </c>
      <c r="E139" s="60">
        <v>583.66999999999996</v>
      </c>
      <c r="F139" s="60">
        <v>500.17</v>
      </c>
      <c r="G139" s="60">
        <v>2989.25</v>
      </c>
      <c r="H139" s="60">
        <v>2749.75</v>
      </c>
    </row>
    <row r="140" spans="1:8">
      <c r="A140" s="56" t="s">
        <v>34</v>
      </c>
      <c r="B140" s="57">
        <v>2021</v>
      </c>
      <c r="C140" s="60">
        <v>743.83</v>
      </c>
      <c r="D140" s="60">
        <v>289</v>
      </c>
      <c r="E140" s="61" t="s">
        <v>210</v>
      </c>
      <c r="F140" s="60">
        <v>547.83000000000004</v>
      </c>
      <c r="G140" s="60">
        <v>1895.08</v>
      </c>
      <c r="H140" s="60">
        <v>1747.08</v>
      </c>
    </row>
    <row r="141" spans="1:8">
      <c r="A141" s="56" t="s">
        <v>65</v>
      </c>
      <c r="B141" s="57">
        <v>2021</v>
      </c>
      <c r="C141" s="60">
        <v>1049.92</v>
      </c>
      <c r="D141" s="60">
        <v>353.5</v>
      </c>
      <c r="E141" s="60">
        <v>116.33</v>
      </c>
      <c r="F141" s="60">
        <v>468.17</v>
      </c>
      <c r="G141" s="60">
        <v>4004.08</v>
      </c>
      <c r="H141" s="60">
        <v>5266.5</v>
      </c>
    </row>
    <row r="142" spans="1:8">
      <c r="A142" s="56" t="s">
        <v>66</v>
      </c>
      <c r="B142" s="57">
        <v>2021</v>
      </c>
      <c r="C142" s="60">
        <v>796.33</v>
      </c>
      <c r="D142" s="60">
        <v>297.92</v>
      </c>
      <c r="E142" s="60">
        <v>667.08</v>
      </c>
      <c r="F142" s="60">
        <v>514.41999999999996</v>
      </c>
      <c r="G142" s="60">
        <v>2270.25</v>
      </c>
      <c r="H142" s="60">
        <v>2559.25</v>
      </c>
    </row>
    <row r="143" spans="1:8">
      <c r="A143" s="56" t="s">
        <v>67</v>
      </c>
      <c r="B143" s="57">
        <v>2021</v>
      </c>
      <c r="C143" s="60">
        <v>585.16999999999996</v>
      </c>
      <c r="D143" s="60">
        <v>323.75</v>
      </c>
      <c r="E143" s="60">
        <v>456.08</v>
      </c>
      <c r="F143" s="60">
        <v>440.58</v>
      </c>
      <c r="G143" s="60">
        <v>1581.83</v>
      </c>
      <c r="H143" s="60">
        <v>1427.17</v>
      </c>
    </row>
    <row r="144" spans="1:8">
      <c r="A144" s="56" t="s">
        <v>68</v>
      </c>
      <c r="B144" s="57">
        <v>2021</v>
      </c>
      <c r="C144" s="60">
        <v>918.75</v>
      </c>
      <c r="D144" s="60">
        <v>354.83</v>
      </c>
      <c r="E144" s="60">
        <v>673.92</v>
      </c>
      <c r="F144" s="60">
        <v>895.5</v>
      </c>
      <c r="G144" s="60">
        <v>2560.5</v>
      </c>
      <c r="H144" s="60">
        <v>4338.75</v>
      </c>
    </row>
    <row r="145" spans="1:8">
      <c r="A145" s="56" t="s">
        <v>69</v>
      </c>
      <c r="B145" s="57">
        <v>2021</v>
      </c>
      <c r="C145" s="60">
        <v>1013.67</v>
      </c>
      <c r="D145" s="60">
        <v>363</v>
      </c>
      <c r="E145" s="60">
        <v>632.83000000000004</v>
      </c>
      <c r="F145" s="60">
        <v>578.08000000000004</v>
      </c>
      <c r="G145" s="60">
        <v>2267</v>
      </c>
      <c r="H145" s="60">
        <v>2877</v>
      </c>
    </row>
    <row r="146" spans="1:8">
      <c r="A146" s="56" t="s">
        <v>70</v>
      </c>
      <c r="B146" s="57">
        <v>2021</v>
      </c>
      <c r="C146" s="60">
        <v>775.92</v>
      </c>
      <c r="D146" s="60">
        <v>577.91999999999996</v>
      </c>
      <c r="E146" s="60">
        <v>622.33000000000004</v>
      </c>
      <c r="F146" s="60">
        <v>439.75</v>
      </c>
      <c r="G146" s="60">
        <v>2008.83</v>
      </c>
      <c r="H146" s="60">
        <v>1114.25</v>
      </c>
    </row>
    <row r="147" spans="1:8">
      <c r="A147" s="56" t="s">
        <v>35</v>
      </c>
      <c r="B147" s="57">
        <v>2021</v>
      </c>
      <c r="C147" s="60">
        <v>515.08000000000004</v>
      </c>
      <c r="D147" s="60">
        <v>215.42</v>
      </c>
      <c r="E147" s="61" t="s">
        <v>210</v>
      </c>
      <c r="F147" s="60">
        <v>391</v>
      </c>
      <c r="G147" s="60">
        <v>1419.42</v>
      </c>
      <c r="H147" s="60">
        <v>1158.67</v>
      </c>
    </row>
    <row r="148" spans="1:8">
      <c r="A148" s="56" t="s">
        <v>71</v>
      </c>
      <c r="B148" s="57">
        <v>2021</v>
      </c>
      <c r="C148" s="60">
        <v>739.08</v>
      </c>
      <c r="D148" s="60">
        <v>242.58</v>
      </c>
      <c r="E148" s="61" t="s">
        <v>210</v>
      </c>
      <c r="F148" s="60">
        <v>517.5</v>
      </c>
      <c r="G148" s="60">
        <v>2427.25</v>
      </c>
      <c r="H148" s="60">
        <v>2346.25</v>
      </c>
    </row>
    <row r="149" spans="1:8">
      <c r="A149" s="56" t="s">
        <v>36</v>
      </c>
      <c r="B149" s="57">
        <v>2021</v>
      </c>
      <c r="C149" s="60">
        <v>580.66999999999996</v>
      </c>
      <c r="D149" s="60">
        <v>307.33</v>
      </c>
      <c r="E149" s="61" t="s">
        <v>210</v>
      </c>
      <c r="F149" s="60">
        <v>431.5</v>
      </c>
      <c r="G149" s="60">
        <v>1407.33</v>
      </c>
      <c r="H149" s="60">
        <v>2040</v>
      </c>
    </row>
    <row r="150" spans="1:8">
      <c r="A150" s="56" t="s">
        <v>37</v>
      </c>
      <c r="B150" s="57">
        <v>2021</v>
      </c>
      <c r="C150" s="60">
        <v>701.83</v>
      </c>
      <c r="D150" s="60">
        <v>309.92</v>
      </c>
      <c r="E150" s="60">
        <v>235.92</v>
      </c>
      <c r="F150" s="60">
        <v>702</v>
      </c>
      <c r="G150" s="60">
        <v>2212.67</v>
      </c>
      <c r="H150" s="60">
        <v>2098.33</v>
      </c>
    </row>
    <row r="151" spans="1:8">
      <c r="A151" s="56" t="s">
        <v>72</v>
      </c>
      <c r="B151" s="57">
        <v>2021</v>
      </c>
      <c r="C151" s="60">
        <v>759.08</v>
      </c>
      <c r="D151" s="60">
        <v>306.83</v>
      </c>
      <c r="E151" s="60">
        <v>698.75</v>
      </c>
      <c r="F151" s="60">
        <v>634.75</v>
      </c>
      <c r="G151" s="60">
        <v>2404.08</v>
      </c>
      <c r="H151" s="60">
        <v>1870</v>
      </c>
    </row>
    <row r="152" spans="1:8">
      <c r="A152" s="56" t="s">
        <v>73</v>
      </c>
      <c r="B152" s="57">
        <v>2021</v>
      </c>
      <c r="C152" s="60">
        <v>0</v>
      </c>
      <c r="D152" s="60">
        <v>0</v>
      </c>
      <c r="E152" s="60">
        <v>0</v>
      </c>
      <c r="F152" s="60">
        <v>0</v>
      </c>
      <c r="G152" s="60">
        <v>0</v>
      </c>
      <c r="H152" s="60">
        <v>0</v>
      </c>
    </row>
    <row r="153" spans="1:8">
      <c r="A153" s="56" t="s">
        <v>74</v>
      </c>
      <c r="B153" s="57">
        <v>2021</v>
      </c>
      <c r="C153" s="60">
        <v>851.33</v>
      </c>
      <c r="D153" s="60">
        <v>317.33</v>
      </c>
      <c r="E153" s="60">
        <v>702.58</v>
      </c>
      <c r="F153" s="60">
        <v>474.67</v>
      </c>
      <c r="G153" s="60">
        <v>3027.5</v>
      </c>
      <c r="H153" s="60">
        <v>2243.83</v>
      </c>
    </row>
    <row r="154" spans="1:8">
      <c r="A154" s="56" t="s">
        <v>75</v>
      </c>
      <c r="B154" s="57">
        <v>2021</v>
      </c>
      <c r="C154" s="60">
        <v>944.08</v>
      </c>
      <c r="D154" s="60">
        <v>354.25</v>
      </c>
      <c r="E154" s="60">
        <v>911.67</v>
      </c>
      <c r="F154" s="60">
        <v>860.83</v>
      </c>
      <c r="G154" s="60">
        <v>3126.58</v>
      </c>
      <c r="H154" s="60">
        <v>2665.17</v>
      </c>
    </row>
    <row r="155" spans="1:8">
      <c r="A155" s="56" t="s">
        <v>76</v>
      </c>
      <c r="B155" s="57">
        <v>2021</v>
      </c>
      <c r="C155" s="60">
        <v>690.75</v>
      </c>
      <c r="D155" s="60">
        <v>293.25</v>
      </c>
      <c r="E155" s="60">
        <v>541.5</v>
      </c>
      <c r="F155" s="60">
        <v>575.41999999999996</v>
      </c>
      <c r="G155" s="60">
        <v>1440.58</v>
      </c>
      <c r="H155" s="60">
        <v>2830.58</v>
      </c>
    </row>
    <row r="156" spans="1:8">
      <c r="A156" s="56" t="s">
        <v>77</v>
      </c>
      <c r="B156" s="57">
        <v>2021</v>
      </c>
      <c r="C156" s="60">
        <v>685.08</v>
      </c>
      <c r="D156" s="60">
        <v>257.33</v>
      </c>
      <c r="E156" s="61" t="s">
        <v>210</v>
      </c>
      <c r="F156" s="60">
        <v>442.75</v>
      </c>
      <c r="G156" s="60">
        <v>1904.67</v>
      </c>
      <c r="H156" s="60">
        <v>1382.67</v>
      </c>
    </row>
    <row r="157" spans="1:8">
      <c r="A157" s="56" t="s">
        <v>78</v>
      </c>
      <c r="B157" s="57">
        <v>2021</v>
      </c>
      <c r="C157" s="60">
        <v>753.5</v>
      </c>
      <c r="D157" s="60">
        <v>272.92</v>
      </c>
      <c r="E157" s="61" t="s">
        <v>210</v>
      </c>
      <c r="F157" s="60">
        <v>519.41999999999996</v>
      </c>
      <c r="G157" s="60">
        <v>2223.67</v>
      </c>
      <c r="H157" s="60">
        <v>2902.67</v>
      </c>
    </row>
    <row r="158" spans="1:8">
      <c r="A158" s="56" t="s">
        <v>214</v>
      </c>
      <c r="B158" s="57">
        <v>2022</v>
      </c>
      <c r="C158" s="60">
        <v>798.92</v>
      </c>
      <c r="D158" s="60">
        <v>312.67</v>
      </c>
      <c r="E158" s="60">
        <v>653.75</v>
      </c>
      <c r="F158" s="60">
        <v>556.25</v>
      </c>
      <c r="G158" s="60">
        <v>2330.33</v>
      </c>
      <c r="H158" s="60">
        <v>2111.33</v>
      </c>
    </row>
    <row r="159" spans="1:8">
      <c r="A159" s="56" t="s">
        <v>19</v>
      </c>
      <c r="B159" s="57">
        <v>2022</v>
      </c>
      <c r="C159" s="60">
        <v>596.33000000000004</v>
      </c>
      <c r="D159" s="60">
        <v>230</v>
      </c>
      <c r="E159" s="61" t="s">
        <v>210</v>
      </c>
      <c r="F159" s="60">
        <v>438.17</v>
      </c>
      <c r="G159" s="60">
        <v>1519.83</v>
      </c>
      <c r="H159" s="60">
        <v>2111.33</v>
      </c>
    </row>
    <row r="160" spans="1:8">
      <c r="A160" s="56" t="s">
        <v>38</v>
      </c>
      <c r="B160" s="57">
        <v>2022</v>
      </c>
      <c r="C160" s="60">
        <v>790.92</v>
      </c>
      <c r="D160" s="60">
        <v>444.92</v>
      </c>
      <c r="E160" s="60">
        <v>714.42</v>
      </c>
      <c r="F160" s="60">
        <v>617.66999999999996</v>
      </c>
      <c r="G160" s="60">
        <v>2847.17</v>
      </c>
      <c r="H160" s="60">
        <v>1984.33</v>
      </c>
    </row>
    <row r="161" spans="1:8">
      <c r="A161" s="56" t="s">
        <v>39</v>
      </c>
      <c r="B161" s="57">
        <v>2022</v>
      </c>
      <c r="C161" s="60">
        <v>776.83</v>
      </c>
      <c r="D161" s="60">
        <v>312.08</v>
      </c>
      <c r="E161" s="60">
        <v>837.08</v>
      </c>
      <c r="F161" s="60">
        <v>603.41999999999996</v>
      </c>
      <c r="G161" s="60">
        <v>2756.67</v>
      </c>
      <c r="H161" s="60">
        <v>1087.08</v>
      </c>
    </row>
    <row r="162" spans="1:8">
      <c r="A162" s="56" t="s">
        <v>28</v>
      </c>
      <c r="B162" s="57">
        <v>2022</v>
      </c>
      <c r="C162" s="60">
        <v>683.58</v>
      </c>
      <c r="D162" s="60">
        <v>353.58</v>
      </c>
      <c r="E162" s="60">
        <v>626.08000000000004</v>
      </c>
      <c r="F162" s="60">
        <v>518.75</v>
      </c>
      <c r="G162" s="60">
        <v>1629.25</v>
      </c>
      <c r="H162" s="60">
        <v>1903.67</v>
      </c>
    </row>
    <row r="163" spans="1:8">
      <c r="A163" s="56" t="s">
        <v>40</v>
      </c>
      <c r="B163" s="57">
        <v>2022</v>
      </c>
      <c r="C163" s="60">
        <v>767.25</v>
      </c>
      <c r="D163" s="60">
        <v>319.92</v>
      </c>
      <c r="E163" s="60">
        <v>541.75</v>
      </c>
      <c r="F163" s="60">
        <v>571.41999999999996</v>
      </c>
      <c r="G163" s="60">
        <v>2755.83</v>
      </c>
      <c r="H163" s="60">
        <v>1507.33</v>
      </c>
    </row>
    <row r="164" spans="1:8">
      <c r="A164" s="56" t="s">
        <v>41</v>
      </c>
      <c r="B164" s="57">
        <v>2022</v>
      </c>
      <c r="C164" s="60">
        <v>664.33</v>
      </c>
      <c r="D164" s="60">
        <v>269.5</v>
      </c>
      <c r="E164" s="60">
        <v>500.08</v>
      </c>
      <c r="F164" s="60">
        <v>499.08</v>
      </c>
      <c r="G164" s="60">
        <v>2918.83</v>
      </c>
      <c r="H164" s="60">
        <v>2675.42</v>
      </c>
    </row>
    <row r="165" spans="1:8">
      <c r="A165" s="56" t="s">
        <v>42</v>
      </c>
      <c r="B165" s="57">
        <v>2022</v>
      </c>
      <c r="C165" s="60">
        <v>805.33</v>
      </c>
      <c r="D165" s="60">
        <v>310.58</v>
      </c>
      <c r="E165" s="60">
        <v>637.83000000000004</v>
      </c>
      <c r="F165" s="60">
        <v>504.17</v>
      </c>
      <c r="G165" s="60">
        <v>4875.42</v>
      </c>
      <c r="H165" s="60">
        <v>3794.83</v>
      </c>
    </row>
    <row r="166" spans="1:8">
      <c r="A166" s="56" t="s">
        <v>43</v>
      </c>
      <c r="B166" s="57">
        <v>2022</v>
      </c>
      <c r="C166" s="60">
        <v>860.08</v>
      </c>
      <c r="D166" s="60">
        <v>395.83</v>
      </c>
      <c r="E166" s="60">
        <v>699.33</v>
      </c>
      <c r="F166" s="60">
        <v>810.92</v>
      </c>
      <c r="G166" s="60">
        <v>2969.25</v>
      </c>
      <c r="H166" s="60">
        <v>3318.92</v>
      </c>
    </row>
    <row r="167" spans="1:8">
      <c r="A167" s="56" t="s">
        <v>44</v>
      </c>
      <c r="B167" s="57">
        <v>2022</v>
      </c>
      <c r="C167" s="60">
        <v>1120.75</v>
      </c>
      <c r="D167" s="60">
        <v>409.08</v>
      </c>
      <c r="E167" s="60">
        <v>627.41999999999996</v>
      </c>
      <c r="F167" s="60">
        <v>613.83000000000004</v>
      </c>
      <c r="G167" s="60">
        <v>3743.33</v>
      </c>
      <c r="H167" s="60">
        <v>3391.92</v>
      </c>
    </row>
    <row r="168" spans="1:8">
      <c r="A168" s="56" t="s">
        <v>30</v>
      </c>
      <c r="B168" s="57">
        <v>2022</v>
      </c>
      <c r="C168" s="60">
        <v>533.25</v>
      </c>
      <c r="D168" s="60">
        <v>218.42</v>
      </c>
      <c r="E168" s="61" t="s">
        <v>210</v>
      </c>
      <c r="F168" s="60">
        <v>332.08</v>
      </c>
      <c r="G168" s="60">
        <v>1572.5</v>
      </c>
      <c r="H168" s="60">
        <v>1518.92</v>
      </c>
    </row>
    <row r="169" spans="1:8">
      <c r="A169" s="56" t="s">
        <v>31</v>
      </c>
      <c r="B169" s="57">
        <v>2022</v>
      </c>
      <c r="C169" s="60">
        <v>507.67</v>
      </c>
      <c r="D169" s="60">
        <v>215.08</v>
      </c>
      <c r="E169" s="61" t="s">
        <v>210</v>
      </c>
      <c r="F169" s="60">
        <v>426.17</v>
      </c>
      <c r="G169" s="60">
        <v>1431.67</v>
      </c>
      <c r="H169" s="60">
        <v>1813.08</v>
      </c>
    </row>
    <row r="170" spans="1:8">
      <c r="A170" s="56" t="s">
        <v>45</v>
      </c>
      <c r="B170" s="57">
        <v>2022</v>
      </c>
      <c r="C170" s="60">
        <v>631</v>
      </c>
      <c r="D170" s="60">
        <v>317.33</v>
      </c>
      <c r="E170" s="60">
        <v>537.91999999999996</v>
      </c>
      <c r="F170" s="60">
        <v>475.5</v>
      </c>
      <c r="G170" s="60">
        <v>2387.58</v>
      </c>
      <c r="H170" s="60">
        <v>1420.25</v>
      </c>
    </row>
    <row r="171" spans="1:8">
      <c r="A171" s="56" t="s">
        <v>46</v>
      </c>
      <c r="B171" s="57">
        <v>2022</v>
      </c>
      <c r="C171" s="60">
        <v>681.5</v>
      </c>
      <c r="D171" s="60">
        <v>273.58</v>
      </c>
      <c r="E171" s="60">
        <v>532.33000000000004</v>
      </c>
      <c r="F171" s="60">
        <v>554.25</v>
      </c>
      <c r="G171" s="60">
        <v>2264.58</v>
      </c>
      <c r="H171" s="60">
        <v>1828</v>
      </c>
    </row>
    <row r="172" spans="1:8">
      <c r="A172" s="56" t="s">
        <v>47</v>
      </c>
      <c r="B172" s="57">
        <v>2022</v>
      </c>
      <c r="C172" s="60">
        <v>760.25</v>
      </c>
      <c r="D172" s="60">
        <v>359.92</v>
      </c>
      <c r="E172" s="60">
        <v>681.08</v>
      </c>
      <c r="F172" s="60">
        <v>526.91999999999996</v>
      </c>
      <c r="G172" s="60">
        <v>1509.17</v>
      </c>
      <c r="H172" s="60">
        <v>1911</v>
      </c>
    </row>
    <row r="173" spans="1:8">
      <c r="A173" s="56" t="s">
        <v>48</v>
      </c>
      <c r="B173" s="57">
        <v>2022</v>
      </c>
      <c r="C173" s="60">
        <v>817.67</v>
      </c>
      <c r="D173" s="60">
        <v>254.33</v>
      </c>
      <c r="E173" s="60">
        <v>793.42</v>
      </c>
      <c r="F173" s="60">
        <v>926.67</v>
      </c>
      <c r="G173" s="60">
        <v>1970.83</v>
      </c>
      <c r="H173" s="60">
        <v>2913.83</v>
      </c>
    </row>
    <row r="174" spans="1:8">
      <c r="A174" s="56" t="s">
        <v>49</v>
      </c>
      <c r="B174" s="57">
        <v>2022</v>
      </c>
      <c r="C174" s="60">
        <v>739.25</v>
      </c>
      <c r="D174" s="60">
        <v>269.42</v>
      </c>
      <c r="E174" s="60">
        <v>570.16999999999996</v>
      </c>
      <c r="F174" s="60">
        <v>548.25</v>
      </c>
      <c r="G174" s="60">
        <v>2352</v>
      </c>
      <c r="H174" s="60">
        <v>2659</v>
      </c>
    </row>
    <row r="175" spans="1:8">
      <c r="A175" s="56" t="s">
        <v>50</v>
      </c>
      <c r="B175" s="57">
        <v>2022</v>
      </c>
      <c r="C175" s="60">
        <v>879.08</v>
      </c>
      <c r="D175" s="60">
        <v>316.42</v>
      </c>
      <c r="E175" s="61" t="s">
        <v>210</v>
      </c>
      <c r="F175" s="60">
        <v>564.91999999999996</v>
      </c>
      <c r="G175" s="60">
        <v>2447.83</v>
      </c>
      <c r="H175" s="60">
        <v>2843.08</v>
      </c>
    </row>
    <row r="176" spans="1:8">
      <c r="A176" s="56" t="s">
        <v>51</v>
      </c>
      <c r="B176" s="57">
        <v>2022</v>
      </c>
      <c r="C176" s="60">
        <v>813.5</v>
      </c>
      <c r="D176" s="60">
        <v>398.25</v>
      </c>
      <c r="E176" s="60">
        <v>698</v>
      </c>
      <c r="F176" s="60">
        <v>711.83</v>
      </c>
      <c r="G176" s="60">
        <v>2045.92</v>
      </c>
      <c r="H176" s="60">
        <v>2055.67</v>
      </c>
    </row>
    <row r="177" spans="1:8">
      <c r="A177" s="56" t="s">
        <v>32</v>
      </c>
      <c r="B177" s="57">
        <v>2022</v>
      </c>
      <c r="C177" s="60">
        <v>666.75</v>
      </c>
      <c r="D177" s="60">
        <v>279.5</v>
      </c>
      <c r="E177" s="60">
        <v>620.25</v>
      </c>
      <c r="F177" s="60">
        <v>584.33000000000004</v>
      </c>
      <c r="G177" s="60">
        <v>1668.92</v>
      </c>
      <c r="H177" s="60">
        <v>1608.75</v>
      </c>
    </row>
    <row r="178" spans="1:8">
      <c r="A178" s="56" t="s">
        <v>52</v>
      </c>
      <c r="B178" s="57">
        <v>2022</v>
      </c>
      <c r="C178" s="60">
        <v>938</v>
      </c>
      <c r="D178" s="60">
        <v>426.17</v>
      </c>
      <c r="E178" s="60">
        <v>572.33000000000004</v>
      </c>
      <c r="F178" s="60">
        <v>493.75</v>
      </c>
      <c r="G178" s="60">
        <v>2291.67</v>
      </c>
      <c r="H178" s="60">
        <v>2138.92</v>
      </c>
    </row>
    <row r="179" spans="1:8">
      <c r="A179" s="56" t="s">
        <v>53</v>
      </c>
      <c r="B179" s="57">
        <v>2022</v>
      </c>
      <c r="C179" s="60">
        <v>832</v>
      </c>
      <c r="D179" s="60">
        <v>310</v>
      </c>
      <c r="E179" s="60">
        <v>759.67</v>
      </c>
      <c r="F179" s="60">
        <v>561.58000000000004</v>
      </c>
      <c r="G179" s="60">
        <v>2994.33</v>
      </c>
      <c r="H179" s="60">
        <v>3152.75</v>
      </c>
    </row>
    <row r="180" spans="1:8">
      <c r="A180" s="56" t="s">
        <v>54</v>
      </c>
      <c r="B180" s="57">
        <v>2022</v>
      </c>
      <c r="C180" s="60">
        <v>1034.33</v>
      </c>
      <c r="D180" s="60">
        <v>391.33</v>
      </c>
      <c r="E180" s="60">
        <v>698.25</v>
      </c>
      <c r="F180" s="60">
        <v>529.58000000000004</v>
      </c>
      <c r="G180" s="60">
        <v>1893.67</v>
      </c>
      <c r="H180" s="60">
        <v>2406.17</v>
      </c>
    </row>
    <row r="181" spans="1:8">
      <c r="A181" s="56" t="s">
        <v>55</v>
      </c>
      <c r="B181" s="57">
        <v>2022</v>
      </c>
      <c r="C181" s="60">
        <v>658.08</v>
      </c>
      <c r="D181" s="60">
        <v>240.67</v>
      </c>
      <c r="E181" s="60">
        <v>564.91999999999996</v>
      </c>
      <c r="F181" s="60">
        <v>459.08</v>
      </c>
      <c r="G181" s="60">
        <v>1711.67</v>
      </c>
      <c r="H181" s="60">
        <v>2028.42</v>
      </c>
    </row>
    <row r="182" spans="1:8">
      <c r="A182" s="56" t="s">
        <v>56</v>
      </c>
      <c r="B182" s="57">
        <v>2022</v>
      </c>
      <c r="C182" s="60">
        <v>1076.83</v>
      </c>
      <c r="D182" s="60">
        <v>344.92</v>
      </c>
      <c r="E182" s="60">
        <v>920.58</v>
      </c>
      <c r="F182" s="60">
        <v>627.83000000000004</v>
      </c>
      <c r="G182" s="60">
        <v>4373.83</v>
      </c>
      <c r="H182" s="60">
        <v>3385.42</v>
      </c>
    </row>
    <row r="183" spans="1:8">
      <c r="A183" s="56" t="s">
        <v>33</v>
      </c>
      <c r="B183" s="57">
        <v>2022</v>
      </c>
      <c r="C183" s="60">
        <v>700.42</v>
      </c>
      <c r="D183" s="60">
        <v>290.83</v>
      </c>
      <c r="E183" s="61" t="s">
        <v>210</v>
      </c>
      <c r="F183" s="60">
        <v>570.91999999999996</v>
      </c>
      <c r="G183" s="60">
        <v>1649.83</v>
      </c>
      <c r="H183" s="60">
        <v>2068.08</v>
      </c>
    </row>
    <row r="184" spans="1:8">
      <c r="A184" s="56" t="s">
        <v>57</v>
      </c>
      <c r="B184" s="57">
        <v>2022</v>
      </c>
      <c r="C184" s="60">
        <v>861.08</v>
      </c>
      <c r="D184" s="60">
        <v>375.25</v>
      </c>
      <c r="E184" s="60">
        <v>525.41999999999996</v>
      </c>
      <c r="F184" s="60">
        <v>540.08000000000004</v>
      </c>
      <c r="G184" s="60">
        <v>2432.83</v>
      </c>
      <c r="H184" s="60">
        <v>1956.58</v>
      </c>
    </row>
    <row r="185" spans="1:8">
      <c r="A185" s="56" t="s">
        <v>58</v>
      </c>
      <c r="B185" s="57">
        <v>2022</v>
      </c>
      <c r="C185" s="60">
        <v>734.25</v>
      </c>
      <c r="D185" s="60">
        <v>369.25</v>
      </c>
      <c r="E185" s="60">
        <v>697.75</v>
      </c>
      <c r="F185" s="60">
        <v>667.33</v>
      </c>
      <c r="G185" s="60">
        <v>2022.58</v>
      </c>
      <c r="H185" s="60">
        <v>2169.25</v>
      </c>
    </row>
    <row r="186" spans="1:8">
      <c r="A186" s="56" t="s">
        <v>59</v>
      </c>
      <c r="B186" s="57">
        <v>2022</v>
      </c>
      <c r="C186" s="60">
        <v>927.67</v>
      </c>
      <c r="D186" s="60">
        <v>317.75</v>
      </c>
      <c r="E186" s="60">
        <v>848.92</v>
      </c>
      <c r="F186" s="60">
        <v>698.25</v>
      </c>
      <c r="G186" s="60">
        <v>2649.75</v>
      </c>
      <c r="H186" s="60">
        <v>2764.17</v>
      </c>
    </row>
    <row r="187" spans="1:8">
      <c r="A187" s="56" t="s">
        <v>60</v>
      </c>
      <c r="B187" s="57">
        <v>2022</v>
      </c>
      <c r="C187" s="60">
        <v>534.75</v>
      </c>
      <c r="D187" s="60">
        <v>219.58</v>
      </c>
      <c r="E187" s="60">
        <v>561.25</v>
      </c>
      <c r="F187" s="60">
        <v>439.33</v>
      </c>
      <c r="G187" s="60">
        <v>2006.08</v>
      </c>
      <c r="H187" s="60">
        <v>1831.25</v>
      </c>
    </row>
    <row r="188" spans="1:8">
      <c r="A188" s="56" t="s">
        <v>61</v>
      </c>
      <c r="B188" s="57">
        <v>2022</v>
      </c>
      <c r="C188" s="60">
        <v>904.08</v>
      </c>
      <c r="D188" s="60">
        <v>393.75</v>
      </c>
      <c r="E188" s="60">
        <v>625.66999999999996</v>
      </c>
      <c r="F188" s="60">
        <v>583.75</v>
      </c>
      <c r="G188" s="60">
        <v>2742.75</v>
      </c>
      <c r="H188" s="60">
        <v>3841.67</v>
      </c>
    </row>
    <row r="189" spans="1:8">
      <c r="A189" s="56" t="s">
        <v>62</v>
      </c>
      <c r="B189" s="57">
        <v>2022</v>
      </c>
      <c r="C189" s="60">
        <v>888.25</v>
      </c>
      <c r="D189" s="60">
        <v>312.17</v>
      </c>
      <c r="E189" s="60">
        <v>624</v>
      </c>
      <c r="F189" s="60">
        <v>642.08000000000004</v>
      </c>
      <c r="G189" s="60">
        <v>3110.75</v>
      </c>
      <c r="H189" s="60">
        <v>2206.5</v>
      </c>
    </row>
    <row r="190" spans="1:8">
      <c r="A190" s="56" t="s">
        <v>63</v>
      </c>
      <c r="B190" s="57">
        <v>2022</v>
      </c>
      <c r="C190" s="60">
        <v>725.5</v>
      </c>
      <c r="D190" s="60">
        <v>373.33</v>
      </c>
      <c r="E190" s="60">
        <v>640.91999999999996</v>
      </c>
      <c r="F190" s="60">
        <v>629.66999999999996</v>
      </c>
      <c r="G190" s="60">
        <v>2606.5</v>
      </c>
      <c r="H190" s="60">
        <v>2396.42</v>
      </c>
    </row>
    <row r="191" spans="1:8">
      <c r="A191" s="56" t="s">
        <v>64</v>
      </c>
      <c r="B191" s="57">
        <v>2022</v>
      </c>
      <c r="C191" s="60">
        <v>947.75</v>
      </c>
      <c r="D191" s="60">
        <v>289.58</v>
      </c>
      <c r="E191" s="60">
        <v>606.83000000000004</v>
      </c>
      <c r="F191" s="60">
        <v>520</v>
      </c>
      <c r="G191" s="60">
        <v>3107.67</v>
      </c>
      <c r="H191" s="60">
        <v>2858.67</v>
      </c>
    </row>
    <row r="192" spans="1:8">
      <c r="A192" s="56" t="s">
        <v>34</v>
      </c>
      <c r="B192" s="57">
        <v>2022</v>
      </c>
      <c r="C192" s="60">
        <v>773.33</v>
      </c>
      <c r="D192" s="60">
        <v>300.42</v>
      </c>
      <c r="E192" s="61" t="s">
        <v>210</v>
      </c>
      <c r="F192" s="60">
        <v>569.58000000000004</v>
      </c>
      <c r="G192" s="60">
        <v>1970.17</v>
      </c>
      <c r="H192" s="60">
        <v>1816.33</v>
      </c>
    </row>
    <row r="193" spans="1:8">
      <c r="A193" s="56" t="s">
        <v>65</v>
      </c>
      <c r="B193" s="57">
        <v>2022</v>
      </c>
      <c r="C193" s="60">
        <v>1091.5</v>
      </c>
      <c r="D193" s="60">
        <v>367.58</v>
      </c>
      <c r="E193" s="60">
        <v>120.92</v>
      </c>
      <c r="F193" s="60">
        <v>486.75</v>
      </c>
      <c r="G193" s="60">
        <v>4162.75</v>
      </c>
      <c r="H193" s="60">
        <v>5475.17</v>
      </c>
    </row>
    <row r="194" spans="1:8">
      <c r="A194" s="56" t="s">
        <v>66</v>
      </c>
      <c r="B194" s="57">
        <v>2022</v>
      </c>
      <c r="C194" s="60">
        <v>827.92</v>
      </c>
      <c r="D194" s="60">
        <v>309.75</v>
      </c>
      <c r="E194" s="60">
        <v>693.5</v>
      </c>
      <c r="F194" s="60">
        <v>534.83000000000004</v>
      </c>
      <c r="G194" s="60">
        <v>2360.17</v>
      </c>
      <c r="H194" s="60">
        <v>2660.58</v>
      </c>
    </row>
    <row r="195" spans="1:8">
      <c r="A195" s="56" t="s">
        <v>67</v>
      </c>
      <c r="B195" s="57">
        <v>2022</v>
      </c>
      <c r="C195" s="60">
        <v>608.33000000000004</v>
      </c>
      <c r="D195" s="60">
        <v>336.58</v>
      </c>
      <c r="E195" s="60">
        <v>474.17</v>
      </c>
      <c r="F195" s="60">
        <v>458</v>
      </c>
      <c r="G195" s="60">
        <v>1644.5</v>
      </c>
      <c r="H195" s="60">
        <v>1483.67</v>
      </c>
    </row>
    <row r="196" spans="1:8">
      <c r="A196" s="56" t="s">
        <v>68</v>
      </c>
      <c r="B196" s="57">
        <v>2022</v>
      </c>
      <c r="C196" s="60">
        <v>955.17</v>
      </c>
      <c r="D196" s="60">
        <v>368.83</v>
      </c>
      <c r="E196" s="60">
        <v>700.58</v>
      </c>
      <c r="F196" s="60">
        <v>931</v>
      </c>
      <c r="G196" s="60">
        <v>2661.92</v>
      </c>
      <c r="H196" s="60">
        <v>4510.58</v>
      </c>
    </row>
    <row r="197" spans="1:8">
      <c r="A197" s="56" t="s">
        <v>69</v>
      </c>
      <c r="B197" s="57">
        <v>2022</v>
      </c>
      <c r="C197" s="60">
        <v>1053.75</v>
      </c>
      <c r="D197" s="60">
        <v>377.42</v>
      </c>
      <c r="E197" s="60">
        <v>657.92</v>
      </c>
      <c r="F197" s="60">
        <v>601</v>
      </c>
      <c r="G197" s="60">
        <v>2356.75</v>
      </c>
      <c r="H197" s="60">
        <v>2991</v>
      </c>
    </row>
    <row r="198" spans="1:8">
      <c r="A198" s="56" t="s">
        <v>70</v>
      </c>
      <c r="B198" s="57">
        <v>2022</v>
      </c>
      <c r="C198" s="60">
        <v>806.67</v>
      </c>
      <c r="D198" s="60">
        <v>600.83000000000004</v>
      </c>
      <c r="E198" s="60">
        <v>647</v>
      </c>
      <c r="F198" s="60">
        <v>457.17</v>
      </c>
      <c r="G198" s="60">
        <v>2088.42</v>
      </c>
      <c r="H198" s="60">
        <v>1158.33</v>
      </c>
    </row>
    <row r="199" spans="1:8">
      <c r="A199" s="56" t="s">
        <v>35</v>
      </c>
      <c r="B199" s="57">
        <v>2022</v>
      </c>
      <c r="C199" s="60">
        <v>535.5</v>
      </c>
      <c r="D199" s="60">
        <v>224</v>
      </c>
      <c r="E199" s="61" t="s">
        <v>210</v>
      </c>
      <c r="F199" s="60">
        <v>406.5</v>
      </c>
      <c r="G199" s="60">
        <v>1475.67</v>
      </c>
      <c r="H199" s="60">
        <v>1204.58</v>
      </c>
    </row>
    <row r="200" spans="1:8">
      <c r="A200" s="56" t="s">
        <v>71</v>
      </c>
      <c r="B200" s="57">
        <v>2022</v>
      </c>
      <c r="C200" s="60">
        <v>768.33</v>
      </c>
      <c r="D200" s="60">
        <v>252.17</v>
      </c>
      <c r="E200" s="61" t="s">
        <v>210</v>
      </c>
      <c r="F200" s="60">
        <v>538</v>
      </c>
      <c r="G200" s="60">
        <v>2523.33</v>
      </c>
      <c r="H200" s="60">
        <v>2439.17</v>
      </c>
    </row>
    <row r="201" spans="1:8">
      <c r="A201" s="56" t="s">
        <v>36</v>
      </c>
      <c r="B201" s="57">
        <v>2022</v>
      </c>
      <c r="C201" s="60">
        <v>603.66999999999996</v>
      </c>
      <c r="D201" s="60">
        <v>319.5</v>
      </c>
      <c r="E201" s="61" t="s">
        <v>210</v>
      </c>
      <c r="F201" s="60">
        <v>448.58</v>
      </c>
      <c r="G201" s="60">
        <v>1463.08</v>
      </c>
      <c r="H201" s="60">
        <v>2120.83</v>
      </c>
    </row>
    <row r="202" spans="1:8">
      <c r="A202" s="56" t="s">
        <v>37</v>
      </c>
      <c r="B202" s="57">
        <v>2022</v>
      </c>
      <c r="C202" s="60">
        <v>729.58</v>
      </c>
      <c r="D202" s="60">
        <v>322.17</v>
      </c>
      <c r="E202" s="60">
        <v>245.33</v>
      </c>
      <c r="F202" s="60">
        <v>729.75</v>
      </c>
      <c r="G202" s="60">
        <v>2300.25</v>
      </c>
      <c r="H202" s="60">
        <v>2181.42</v>
      </c>
    </row>
    <row r="203" spans="1:8">
      <c r="A203" s="56" t="s">
        <v>72</v>
      </c>
      <c r="B203" s="57">
        <v>2022</v>
      </c>
      <c r="C203" s="60">
        <v>789.17</v>
      </c>
      <c r="D203" s="60">
        <v>318.92</v>
      </c>
      <c r="E203" s="60">
        <v>726.5</v>
      </c>
      <c r="F203" s="60">
        <v>659.83</v>
      </c>
      <c r="G203" s="60">
        <v>2499.33</v>
      </c>
      <c r="H203" s="60">
        <v>1944.08</v>
      </c>
    </row>
    <row r="204" spans="1:8">
      <c r="A204" s="56" t="s">
        <v>73</v>
      </c>
      <c r="B204" s="57">
        <v>2022</v>
      </c>
      <c r="C204" s="60">
        <v>0</v>
      </c>
      <c r="D204" s="60">
        <v>0</v>
      </c>
      <c r="E204" s="60">
        <v>0</v>
      </c>
      <c r="F204" s="60">
        <v>0</v>
      </c>
      <c r="G204" s="60">
        <v>0</v>
      </c>
      <c r="H204" s="60">
        <v>0</v>
      </c>
    </row>
    <row r="205" spans="1:8">
      <c r="A205" s="56" t="s">
        <v>74</v>
      </c>
      <c r="B205" s="57">
        <v>2022</v>
      </c>
      <c r="C205" s="60">
        <v>885</v>
      </c>
      <c r="D205" s="60">
        <v>329.92</v>
      </c>
      <c r="E205" s="60">
        <v>730.42</v>
      </c>
      <c r="F205" s="60">
        <v>493.42</v>
      </c>
      <c r="G205" s="60">
        <v>3147.42</v>
      </c>
      <c r="H205" s="60">
        <v>2332.75</v>
      </c>
    </row>
    <row r="206" spans="1:8">
      <c r="A206" s="56" t="s">
        <v>75</v>
      </c>
      <c r="B206" s="57">
        <v>2022</v>
      </c>
      <c r="C206" s="60">
        <v>981.5</v>
      </c>
      <c r="D206" s="60">
        <v>368.25</v>
      </c>
      <c r="E206" s="60">
        <v>947.83</v>
      </c>
      <c r="F206" s="60">
        <v>895</v>
      </c>
      <c r="G206" s="60">
        <v>3250.42</v>
      </c>
      <c r="H206" s="60">
        <v>2770.75</v>
      </c>
    </row>
    <row r="207" spans="1:8">
      <c r="A207" s="56" t="s">
        <v>76</v>
      </c>
      <c r="B207" s="57">
        <v>2022</v>
      </c>
      <c r="C207" s="60">
        <v>718.08</v>
      </c>
      <c r="D207" s="60">
        <v>304.83</v>
      </c>
      <c r="E207" s="60">
        <v>562.91999999999996</v>
      </c>
      <c r="F207" s="60">
        <v>598.25</v>
      </c>
      <c r="G207" s="60">
        <v>1497.58</v>
      </c>
      <c r="H207" s="60">
        <v>2942.75</v>
      </c>
    </row>
    <row r="208" spans="1:8">
      <c r="A208" s="56" t="s">
        <v>77</v>
      </c>
      <c r="B208" s="57">
        <v>2022</v>
      </c>
      <c r="C208" s="60">
        <v>712.17</v>
      </c>
      <c r="D208" s="60">
        <v>267.5</v>
      </c>
      <c r="E208" s="61" t="s">
        <v>210</v>
      </c>
      <c r="F208" s="60">
        <v>460.25</v>
      </c>
      <c r="G208" s="60">
        <v>1980.08</v>
      </c>
      <c r="H208" s="60">
        <v>1437.42</v>
      </c>
    </row>
    <row r="209" spans="1:8">
      <c r="A209" s="56" t="s">
        <v>78</v>
      </c>
      <c r="B209" s="57">
        <v>2022</v>
      </c>
      <c r="C209" s="60">
        <v>783.33</v>
      </c>
      <c r="D209" s="60">
        <v>283.67</v>
      </c>
      <c r="E209" s="61" t="s">
        <v>210</v>
      </c>
      <c r="F209" s="60">
        <v>539.91999999999996</v>
      </c>
      <c r="G209" s="60">
        <v>2311.75</v>
      </c>
      <c r="H209" s="60">
        <v>3017.67</v>
      </c>
    </row>
    <row r="210" spans="1:8">
      <c r="A210" s="56" t="s">
        <v>214</v>
      </c>
      <c r="B210" s="57">
        <v>2023</v>
      </c>
      <c r="C210" s="60">
        <v>798.83</v>
      </c>
      <c r="D210" s="60">
        <v>312.67</v>
      </c>
      <c r="E210" s="60">
        <v>653.75</v>
      </c>
      <c r="F210" s="60">
        <v>556.16999999999996</v>
      </c>
      <c r="G210" s="60">
        <v>2330.17</v>
      </c>
      <c r="H210" s="60">
        <v>2111.17</v>
      </c>
    </row>
    <row r="211" spans="1:8">
      <c r="A211" s="56" t="s">
        <v>19</v>
      </c>
      <c r="B211" s="57">
        <v>2023</v>
      </c>
      <c r="C211" s="60">
        <v>596.25</v>
      </c>
      <c r="D211" s="60">
        <v>229.92</v>
      </c>
      <c r="E211" s="61" t="s">
        <v>210</v>
      </c>
      <c r="F211" s="60">
        <v>438.17</v>
      </c>
      <c r="G211" s="60">
        <v>1519.75</v>
      </c>
      <c r="H211" s="60">
        <v>2111.17</v>
      </c>
    </row>
    <row r="212" spans="1:8">
      <c r="A212" s="56" t="s">
        <v>38</v>
      </c>
      <c r="B212" s="57">
        <v>2023</v>
      </c>
      <c r="C212" s="60">
        <v>790.83</v>
      </c>
      <c r="D212" s="60">
        <v>444.92</v>
      </c>
      <c r="E212" s="60">
        <v>714.42</v>
      </c>
      <c r="F212" s="60">
        <v>617.58000000000004</v>
      </c>
      <c r="G212" s="60">
        <v>2847</v>
      </c>
      <c r="H212" s="60">
        <v>1984.25</v>
      </c>
    </row>
    <row r="213" spans="1:8">
      <c r="A213" s="56" t="s">
        <v>39</v>
      </c>
      <c r="B213" s="57">
        <v>2023</v>
      </c>
      <c r="C213" s="60">
        <v>776.75</v>
      </c>
      <c r="D213" s="60">
        <v>312.08</v>
      </c>
      <c r="E213" s="60">
        <v>837</v>
      </c>
      <c r="F213" s="60">
        <v>603.41999999999996</v>
      </c>
      <c r="G213" s="60">
        <v>2756.5</v>
      </c>
      <c r="H213" s="60">
        <v>1087</v>
      </c>
    </row>
    <row r="214" spans="1:8">
      <c r="A214" s="56" t="s">
        <v>28</v>
      </c>
      <c r="B214" s="57">
        <v>2023</v>
      </c>
      <c r="C214" s="60">
        <v>683.5</v>
      </c>
      <c r="D214" s="60">
        <v>353.58</v>
      </c>
      <c r="E214" s="60">
        <v>626</v>
      </c>
      <c r="F214" s="60">
        <v>518.66999999999996</v>
      </c>
      <c r="G214" s="60">
        <v>1629.17</v>
      </c>
      <c r="H214" s="60">
        <v>1903.5</v>
      </c>
    </row>
    <row r="215" spans="1:8">
      <c r="A215" s="56" t="s">
        <v>40</v>
      </c>
      <c r="B215" s="57">
        <v>2023</v>
      </c>
      <c r="C215" s="60">
        <v>767.17</v>
      </c>
      <c r="D215" s="60">
        <v>319.92</v>
      </c>
      <c r="E215" s="60">
        <v>541.75</v>
      </c>
      <c r="F215" s="60">
        <v>571.33000000000004</v>
      </c>
      <c r="G215" s="60">
        <v>2755.67</v>
      </c>
      <c r="H215" s="60">
        <v>1507.25</v>
      </c>
    </row>
    <row r="216" spans="1:8">
      <c r="A216" s="56" t="s">
        <v>41</v>
      </c>
      <c r="B216" s="57">
        <v>2023</v>
      </c>
      <c r="C216" s="60">
        <v>664.25</v>
      </c>
      <c r="D216" s="60">
        <v>269.5</v>
      </c>
      <c r="E216" s="60">
        <v>500.08</v>
      </c>
      <c r="F216" s="60">
        <v>499.08</v>
      </c>
      <c r="G216" s="60">
        <v>2918.67</v>
      </c>
      <c r="H216" s="60">
        <v>2675.25</v>
      </c>
    </row>
    <row r="217" spans="1:8">
      <c r="A217" s="56" t="s">
        <v>42</v>
      </c>
      <c r="B217" s="57">
        <v>2023</v>
      </c>
      <c r="C217" s="60">
        <v>805.33</v>
      </c>
      <c r="D217" s="60">
        <v>310.58</v>
      </c>
      <c r="E217" s="60">
        <v>637.75</v>
      </c>
      <c r="F217" s="60">
        <v>504.17</v>
      </c>
      <c r="G217" s="60">
        <v>4875.17</v>
      </c>
      <c r="H217" s="60">
        <v>3794.58</v>
      </c>
    </row>
    <row r="218" spans="1:8">
      <c r="A218" s="56" t="s">
        <v>43</v>
      </c>
      <c r="B218" s="57">
        <v>2023</v>
      </c>
      <c r="C218" s="60">
        <v>860</v>
      </c>
      <c r="D218" s="60">
        <v>395.83</v>
      </c>
      <c r="E218" s="60">
        <v>699.25</v>
      </c>
      <c r="F218" s="60">
        <v>810.92</v>
      </c>
      <c r="G218" s="60">
        <v>2969.08</v>
      </c>
      <c r="H218" s="60">
        <v>3318.67</v>
      </c>
    </row>
    <row r="219" spans="1:8">
      <c r="A219" s="56" t="s">
        <v>44</v>
      </c>
      <c r="B219" s="57">
        <v>2023</v>
      </c>
      <c r="C219" s="60">
        <v>1120.67</v>
      </c>
      <c r="D219" s="60">
        <v>409.08</v>
      </c>
      <c r="E219" s="60">
        <v>627.33000000000004</v>
      </c>
      <c r="F219" s="60">
        <v>613.75</v>
      </c>
      <c r="G219" s="60">
        <v>3743.08</v>
      </c>
      <c r="H219" s="60">
        <v>3391.75</v>
      </c>
    </row>
    <row r="220" spans="1:8">
      <c r="A220" s="56" t="s">
        <v>30</v>
      </c>
      <c r="B220" s="57">
        <v>2023</v>
      </c>
      <c r="C220" s="60">
        <v>533.25</v>
      </c>
      <c r="D220" s="60">
        <v>218.33</v>
      </c>
      <c r="E220" s="61" t="s">
        <v>210</v>
      </c>
      <c r="F220" s="60">
        <v>332.08</v>
      </c>
      <c r="G220" s="60">
        <v>1572.42</v>
      </c>
      <c r="H220" s="60">
        <v>1518.83</v>
      </c>
    </row>
    <row r="221" spans="1:8">
      <c r="A221" s="56" t="s">
        <v>31</v>
      </c>
      <c r="B221" s="57">
        <v>2023</v>
      </c>
      <c r="C221" s="60">
        <v>507.58</v>
      </c>
      <c r="D221" s="60">
        <v>215.08</v>
      </c>
      <c r="E221" s="61" t="s">
        <v>210</v>
      </c>
      <c r="F221" s="60">
        <v>426.08</v>
      </c>
      <c r="G221" s="60">
        <v>1431.58</v>
      </c>
      <c r="H221" s="60">
        <v>1813</v>
      </c>
    </row>
    <row r="222" spans="1:8">
      <c r="A222" s="56" t="s">
        <v>45</v>
      </c>
      <c r="B222" s="57">
        <v>2023</v>
      </c>
      <c r="C222" s="60">
        <v>631</v>
      </c>
      <c r="D222" s="60">
        <v>317.25</v>
      </c>
      <c r="E222" s="60">
        <v>537.91999999999996</v>
      </c>
      <c r="F222" s="60">
        <v>475.5</v>
      </c>
      <c r="G222" s="60">
        <v>2387.42</v>
      </c>
      <c r="H222" s="60">
        <v>1420.17</v>
      </c>
    </row>
    <row r="223" spans="1:8">
      <c r="A223" s="56" t="s">
        <v>46</v>
      </c>
      <c r="B223" s="57">
        <v>2023</v>
      </c>
      <c r="C223" s="60">
        <v>681.5</v>
      </c>
      <c r="D223" s="60">
        <v>273.58</v>
      </c>
      <c r="E223" s="60">
        <v>532.25</v>
      </c>
      <c r="F223" s="60">
        <v>554.16999999999996</v>
      </c>
      <c r="G223" s="60">
        <v>2264.42</v>
      </c>
      <c r="H223" s="60">
        <v>1827.83</v>
      </c>
    </row>
    <row r="224" spans="1:8">
      <c r="A224" s="56" t="s">
        <v>47</v>
      </c>
      <c r="B224" s="57">
        <v>2023</v>
      </c>
      <c r="C224" s="60">
        <v>760.17</v>
      </c>
      <c r="D224" s="60">
        <v>359.83</v>
      </c>
      <c r="E224" s="60">
        <v>681.08</v>
      </c>
      <c r="F224" s="60">
        <v>526.83000000000004</v>
      </c>
      <c r="G224" s="60">
        <v>1509.08</v>
      </c>
      <c r="H224" s="60">
        <v>1910.83</v>
      </c>
    </row>
    <row r="225" spans="1:8">
      <c r="A225" s="56" t="s">
        <v>48</v>
      </c>
      <c r="B225" s="57">
        <v>2023</v>
      </c>
      <c r="C225" s="60">
        <v>817.58</v>
      </c>
      <c r="D225" s="60">
        <v>254.33</v>
      </c>
      <c r="E225" s="60">
        <v>793.42</v>
      </c>
      <c r="F225" s="60">
        <v>926.58</v>
      </c>
      <c r="G225" s="60">
        <v>1970.75</v>
      </c>
      <c r="H225" s="60">
        <v>2913.58</v>
      </c>
    </row>
    <row r="226" spans="1:8">
      <c r="A226" s="56" t="s">
        <v>49</v>
      </c>
      <c r="B226" s="57">
        <v>2023</v>
      </c>
      <c r="C226" s="60">
        <v>739.25</v>
      </c>
      <c r="D226" s="60">
        <v>269.42</v>
      </c>
      <c r="E226" s="60">
        <v>570.16999999999996</v>
      </c>
      <c r="F226" s="60">
        <v>548.16999999999996</v>
      </c>
      <c r="G226" s="60">
        <v>2351.83</v>
      </c>
      <c r="H226" s="60">
        <v>2658.83</v>
      </c>
    </row>
    <row r="227" spans="1:8">
      <c r="A227" s="56" t="s">
        <v>50</v>
      </c>
      <c r="B227" s="57">
        <v>2023</v>
      </c>
      <c r="C227" s="60">
        <v>879.08</v>
      </c>
      <c r="D227" s="60">
        <v>316.42</v>
      </c>
      <c r="E227" s="61" t="s">
        <v>210</v>
      </c>
      <c r="F227" s="60">
        <v>564.91999999999996</v>
      </c>
      <c r="G227" s="60">
        <v>2447.75</v>
      </c>
      <c r="H227" s="60">
        <v>2842.92</v>
      </c>
    </row>
    <row r="228" spans="1:8">
      <c r="A228" s="56" t="s">
        <v>51</v>
      </c>
      <c r="B228" s="57">
        <v>2023</v>
      </c>
      <c r="C228" s="60">
        <v>813.42</v>
      </c>
      <c r="D228" s="60">
        <v>398.25</v>
      </c>
      <c r="E228" s="60">
        <v>697.92</v>
      </c>
      <c r="F228" s="60">
        <v>711.83</v>
      </c>
      <c r="G228" s="60">
        <v>2045.83</v>
      </c>
      <c r="H228" s="60">
        <v>2055.58</v>
      </c>
    </row>
    <row r="229" spans="1:8">
      <c r="A229" s="56" t="s">
        <v>32</v>
      </c>
      <c r="B229" s="57">
        <v>2023</v>
      </c>
      <c r="C229" s="60">
        <v>666.67</v>
      </c>
      <c r="D229" s="60">
        <v>279.5</v>
      </c>
      <c r="E229" s="60">
        <v>620.16999999999996</v>
      </c>
      <c r="F229" s="60">
        <v>584.33000000000004</v>
      </c>
      <c r="G229" s="60">
        <v>1668.75</v>
      </c>
      <c r="H229" s="60">
        <v>1608.58</v>
      </c>
    </row>
    <row r="230" spans="1:8">
      <c r="A230" s="56" t="s">
        <v>52</v>
      </c>
      <c r="B230" s="57">
        <v>2023</v>
      </c>
      <c r="C230" s="60">
        <v>937.92</v>
      </c>
      <c r="D230" s="60">
        <v>426.08</v>
      </c>
      <c r="E230" s="60">
        <v>572.33000000000004</v>
      </c>
      <c r="F230" s="60">
        <v>493.67</v>
      </c>
      <c r="G230" s="60">
        <v>2291.5</v>
      </c>
      <c r="H230" s="60">
        <v>2138.75</v>
      </c>
    </row>
    <row r="231" spans="1:8">
      <c r="A231" s="56" t="s">
        <v>53</v>
      </c>
      <c r="B231" s="57">
        <v>2023</v>
      </c>
      <c r="C231" s="60">
        <v>831.92</v>
      </c>
      <c r="D231" s="60">
        <v>310</v>
      </c>
      <c r="E231" s="60">
        <v>759.58</v>
      </c>
      <c r="F231" s="60">
        <v>561.5</v>
      </c>
      <c r="G231" s="60">
        <v>2994.17</v>
      </c>
      <c r="H231" s="60">
        <v>3152.58</v>
      </c>
    </row>
    <row r="232" spans="1:8">
      <c r="A232" s="56" t="s">
        <v>54</v>
      </c>
      <c r="B232" s="57">
        <v>2023</v>
      </c>
      <c r="C232" s="60">
        <v>1034.33</v>
      </c>
      <c r="D232" s="60">
        <v>391.33</v>
      </c>
      <c r="E232" s="60">
        <v>698.25</v>
      </c>
      <c r="F232" s="60">
        <v>529.58000000000004</v>
      </c>
      <c r="G232" s="60">
        <v>1893.5</v>
      </c>
      <c r="H232" s="60">
        <v>2406</v>
      </c>
    </row>
    <row r="233" spans="1:8">
      <c r="A233" s="56" t="s">
        <v>55</v>
      </c>
      <c r="B233" s="57">
        <v>2023</v>
      </c>
      <c r="C233" s="60">
        <v>658.08</v>
      </c>
      <c r="D233" s="60">
        <v>240.67</v>
      </c>
      <c r="E233" s="60">
        <v>564.91999999999996</v>
      </c>
      <c r="F233" s="60">
        <v>459</v>
      </c>
      <c r="G233" s="60">
        <v>1711.5</v>
      </c>
      <c r="H233" s="60">
        <v>2028.33</v>
      </c>
    </row>
    <row r="234" spans="1:8">
      <c r="A234" s="56" t="s">
        <v>56</v>
      </c>
      <c r="B234" s="57">
        <v>2023</v>
      </c>
      <c r="C234" s="60">
        <v>1076.83</v>
      </c>
      <c r="D234" s="60">
        <v>344.92</v>
      </c>
      <c r="E234" s="60">
        <v>920.5</v>
      </c>
      <c r="F234" s="60">
        <v>627.75</v>
      </c>
      <c r="G234" s="60">
        <v>4373.5</v>
      </c>
      <c r="H234" s="60">
        <v>3385.17</v>
      </c>
    </row>
    <row r="235" spans="1:8">
      <c r="A235" s="56" t="s">
        <v>33</v>
      </c>
      <c r="B235" s="57">
        <v>2023</v>
      </c>
      <c r="C235" s="60">
        <v>700.42</v>
      </c>
      <c r="D235" s="60">
        <v>290.83</v>
      </c>
      <c r="E235" s="61" t="s">
        <v>210</v>
      </c>
      <c r="F235" s="60">
        <v>570.91999999999996</v>
      </c>
      <c r="G235" s="60">
        <v>1649.75</v>
      </c>
      <c r="H235" s="60">
        <v>2067.92</v>
      </c>
    </row>
    <row r="236" spans="1:8">
      <c r="A236" s="56" t="s">
        <v>57</v>
      </c>
      <c r="B236" s="57">
        <v>2023</v>
      </c>
      <c r="C236" s="60">
        <v>861</v>
      </c>
      <c r="D236" s="60">
        <v>375.17</v>
      </c>
      <c r="E236" s="60">
        <v>525.41999999999996</v>
      </c>
      <c r="F236" s="60">
        <v>540</v>
      </c>
      <c r="G236" s="60">
        <v>2432.67</v>
      </c>
      <c r="H236" s="60">
        <v>1956.5</v>
      </c>
    </row>
    <row r="237" spans="1:8">
      <c r="A237" s="56" t="s">
        <v>58</v>
      </c>
      <c r="B237" s="57">
        <v>2023</v>
      </c>
      <c r="C237" s="60">
        <v>734.17</v>
      </c>
      <c r="D237" s="60">
        <v>369.25</v>
      </c>
      <c r="E237" s="60">
        <v>697.67</v>
      </c>
      <c r="F237" s="60">
        <v>667.33</v>
      </c>
      <c r="G237" s="60">
        <v>2022.5</v>
      </c>
      <c r="H237" s="60">
        <v>2169.08</v>
      </c>
    </row>
    <row r="238" spans="1:8">
      <c r="A238" s="56" t="s">
        <v>59</v>
      </c>
      <c r="B238" s="57">
        <v>2023</v>
      </c>
      <c r="C238" s="60">
        <v>927.67</v>
      </c>
      <c r="D238" s="60">
        <v>317.75</v>
      </c>
      <c r="E238" s="60">
        <v>848.83</v>
      </c>
      <c r="F238" s="60">
        <v>698.25</v>
      </c>
      <c r="G238" s="60">
        <v>2649.5</v>
      </c>
      <c r="H238" s="60">
        <v>2763.92</v>
      </c>
    </row>
    <row r="239" spans="1:8">
      <c r="A239" s="56" t="s">
        <v>60</v>
      </c>
      <c r="B239" s="57">
        <v>2023</v>
      </c>
      <c r="C239" s="60">
        <v>534.66999999999996</v>
      </c>
      <c r="D239" s="60">
        <v>219.58</v>
      </c>
      <c r="E239" s="60">
        <v>561.25</v>
      </c>
      <c r="F239" s="60">
        <v>439.25</v>
      </c>
      <c r="G239" s="60">
        <v>2005.92</v>
      </c>
      <c r="H239" s="60">
        <v>1831.17</v>
      </c>
    </row>
    <row r="240" spans="1:8">
      <c r="A240" s="56" t="s">
        <v>61</v>
      </c>
      <c r="B240" s="57">
        <v>2023</v>
      </c>
      <c r="C240" s="60">
        <v>904.08</v>
      </c>
      <c r="D240" s="60">
        <v>393.75</v>
      </c>
      <c r="E240" s="60">
        <v>625.58000000000004</v>
      </c>
      <c r="F240" s="60">
        <v>583.75</v>
      </c>
      <c r="G240" s="60">
        <v>2742.5</v>
      </c>
      <c r="H240" s="60">
        <v>3841.42</v>
      </c>
    </row>
    <row r="241" spans="1:8">
      <c r="A241" s="56" t="s">
        <v>62</v>
      </c>
      <c r="B241" s="57">
        <v>2023</v>
      </c>
      <c r="C241" s="60">
        <v>888.17</v>
      </c>
      <c r="D241" s="60">
        <v>312.17</v>
      </c>
      <c r="E241" s="60">
        <v>623.91999999999996</v>
      </c>
      <c r="F241" s="60">
        <v>642.08000000000004</v>
      </c>
      <c r="G241" s="60">
        <v>3110.58</v>
      </c>
      <c r="H241" s="60">
        <v>2206.33</v>
      </c>
    </row>
    <row r="242" spans="1:8">
      <c r="A242" s="56" t="s">
        <v>63</v>
      </c>
      <c r="B242" s="57">
        <v>2023</v>
      </c>
      <c r="C242" s="60">
        <v>725.5</v>
      </c>
      <c r="D242" s="60">
        <v>373.25</v>
      </c>
      <c r="E242" s="60">
        <v>640.83000000000004</v>
      </c>
      <c r="F242" s="60">
        <v>629.58000000000004</v>
      </c>
      <c r="G242" s="60">
        <v>2606.33</v>
      </c>
      <c r="H242" s="60">
        <v>2396.25</v>
      </c>
    </row>
    <row r="243" spans="1:8">
      <c r="A243" s="56" t="s">
        <v>64</v>
      </c>
      <c r="B243" s="57">
        <v>2023</v>
      </c>
      <c r="C243" s="60">
        <v>947.67</v>
      </c>
      <c r="D243" s="60">
        <v>289.58</v>
      </c>
      <c r="E243" s="60">
        <v>606.75</v>
      </c>
      <c r="F243" s="60">
        <v>520</v>
      </c>
      <c r="G243" s="60">
        <v>3107.42</v>
      </c>
      <c r="H243" s="60">
        <v>2858.5</v>
      </c>
    </row>
    <row r="244" spans="1:8">
      <c r="A244" s="56" t="s">
        <v>34</v>
      </c>
      <c r="B244" s="57">
        <v>2023</v>
      </c>
      <c r="C244" s="60">
        <v>773.25</v>
      </c>
      <c r="D244" s="60">
        <v>300.42</v>
      </c>
      <c r="E244" s="61" t="s">
        <v>210</v>
      </c>
      <c r="F244" s="60">
        <v>569.5</v>
      </c>
      <c r="G244" s="60">
        <v>1970.08</v>
      </c>
      <c r="H244" s="60">
        <v>1816.17</v>
      </c>
    </row>
    <row r="245" spans="1:8">
      <c r="A245" s="56" t="s">
        <v>65</v>
      </c>
      <c r="B245" s="57">
        <v>2023</v>
      </c>
      <c r="C245" s="60">
        <v>1091.42</v>
      </c>
      <c r="D245" s="60">
        <v>367.5</v>
      </c>
      <c r="E245" s="60">
        <v>120.92</v>
      </c>
      <c r="F245" s="60">
        <v>486.75</v>
      </c>
      <c r="G245" s="60">
        <v>4162.5</v>
      </c>
      <c r="H245" s="60">
        <v>5474.75</v>
      </c>
    </row>
    <row r="246" spans="1:8">
      <c r="A246" s="56" t="s">
        <v>66</v>
      </c>
      <c r="B246" s="57">
        <v>2023</v>
      </c>
      <c r="C246" s="60">
        <v>827.83</v>
      </c>
      <c r="D246" s="60">
        <v>309.67</v>
      </c>
      <c r="E246" s="60">
        <v>693.42</v>
      </c>
      <c r="F246" s="60">
        <v>534.75</v>
      </c>
      <c r="G246" s="60">
        <v>2360</v>
      </c>
      <c r="H246" s="60">
        <v>2660.42</v>
      </c>
    </row>
    <row r="247" spans="1:8">
      <c r="A247" s="56" t="s">
        <v>67</v>
      </c>
      <c r="B247" s="57">
        <v>2023</v>
      </c>
      <c r="C247" s="60">
        <v>608.25</v>
      </c>
      <c r="D247" s="60">
        <v>336.5</v>
      </c>
      <c r="E247" s="60">
        <v>474.08</v>
      </c>
      <c r="F247" s="60">
        <v>458</v>
      </c>
      <c r="G247" s="60">
        <v>1644.42</v>
      </c>
      <c r="H247" s="60">
        <v>1483.58</v>
      </c>
    </row>
    <row r="248" spans="1:8">
      <c r="A248" s="56" t="s">
        <v>68</v>
      </c>
      <c r="B248" s="57">
        <v>2023</v>
      </c>
      <c r="C248" s="60">
        <v>955.08</v>
      </c>
      <c r="D248" s="60">
        <v>368.83</v>
      </c>
      <c r="E248" s="60">
        <v>700.58</v>
      </c>
      <c r="F248" s="60">
        <v>930.92</v>
      </c>
      <c r="G248" s="60">
        <v>2661.75</v>
      </c>
      <c r="H248" s="60">
        <v>4510.33</v>
      </c>
    </row>
    <row r="249" spans="1:8">
      <c r="A249" s="56" t="s">
        <v>69</v>
      </c>
      <c r="B249" s="57">
        <v>2023</v>
      </c>
      <c r="C249" s="60">
        <v>1053.75</v>
      </c>
      <c r="D249" s="60">
        <v>377.33</v>
      </c>
      <c r="E249" s="60">
        <v>657.92</v>
      </c>
      <c r="F249" s="60">
        <v>600.91999999999996</v>
      </c>
      <c r="G249" s="60">
        <v>2356.67</v>
      </c>
      <c r="H249" s="60">
        <v>2990.75</v>
      </c>
    </row>
    <row r="250" spans="1:8">
      <c r="A250" s="56" t="s">
        <v>70</v>
      </c>
      <c r="B250" s="57">
        <v>2023</v>
      </c>
      <c r="C250" s="60">
        <v>806.58</v>
      </c>
      <c r="D250" s="60">
        <v>600.75</v>
      </c>
      <c r="E250" s="60">
        <v>646.91999999999996</v>
      </c>
      <c r="F250" s="60">
        <v>457.08</v>
      </c>
      <c r="G250" s="60">
        <v>2088.25</v>
      </c>
      <c r="H250" s="60">
        <v>1158.33</v>
      </c>
    </row>
    <row r="251" spans="1:8">
      <c r="A251" s="56" t="s">
        <v>35</v>
      </c>
      <c r="B251" s="57">
        <v>2023</v>
      </c>
      <c r="C251" s="60">
        <v>535.5</v>
      </c>
      <c r="D251" s="60">
        <v>223.92</v>
      </c>
      <c r="E251" s="61" t="s">
        <v>210</v>
      </c>
      <c r="F251" s="60">
        <v>406.42</v>
      </c>
      <c r="G251" s="60">
        <v>1475.58</v>
      </c>
      <c r="H251" s="60">
        <v>1204.5</v>
      </c>
    </row>
    <row r="252" spans="1:8">
      <c r="A252" s="56" t="s">
        <v>71</v>
      </c>
      <c r="B252" s="57">
        <v>2023</v>
      </c>
      <c r="C252" s="60">
        <v>768.33</v>
      </c>
      <c r="D252" s="60">
        <v>252.17</v>
      </c>
      <c r="E252" s="61" t="s">
        <v>210</v>
      </c>
      <c r="F252" s="60">
        <v>538</v>
      </c>
      <c r="G252" s="60">
        <v>2523.17</v>
      </c>
      <c r="H252" s="60">
        <v>2439</v>
      </c>
    </row>
    <row r="253" spans="1:8">
      <c r="A253" s="56" t="s">
        <v>36</v>
      </c>
      <c r="B253" s="57">
        <v>2023</v>
      </c>
      <c r="C253" s="60">
        <v>603.66999999999996</v>
      </c>
      <c r="D253" s="60">
        <v>319.5</v>
      </c>
      <c r="E253" s="61" t="s">
        <v>210</v>
      </c>
      <c r="F253" s="60">
        <v>448.58</v>
      </c>
      <c r="G253" s="60">
        <v>1462.92</v>
      </c>
      <c r="H253" s="60">
        <v>2120.67</v>
      </c>
    </row>
    <row r="254" spans="1:8">
      <c r="A254" s="56" t="s">
        <v>37</v>
      </c>
      <c r="B254" s="57">
        <v>2023</v>
      </c>
      <c r="C254" s="60">
        <v>729.58</v>
      </c>
      <c r="D254" s="60">
        <v>322.17</v>
      </c>
      <c r="E254" s="60">
        <v>245.25</v>
      </c>
      <c r="F254" s="60">
        <v>729.75</v>
      </c>
      <c r="G254" s="60">
        <v>2300.17</v>
      </c>
      <c r="H254" s="60">
        <v>2181.25</v>
      </c>
    </row>
    <row r="255" spans="1:8">
      <c r="A255" s="56" t="s">
        <v>72</v>
      </c>
      <c r="B255" s="57">
        <v>2023</v>
      </c>
      <c r="C255" s="60">
        <v>789.08</v>
      </c>
      <c r="D255" s="60">
        <v>318.92</v>
      </c>
      <c r="E255" s="60">
        <v>726.42</v>
      </c>
      <c r="F255" s="60">
        <v>659.83</v>
      </c>
      <c r="G255" s="60">
        <v>2499.17</v>
      </c>
      <c r="H255" s="60">
        <v>1943.92</v>
      </c>
    </row>
    <row r="256" spans="1:8">
      <c r="A256" s="56" t="s">
        <v>73</v>
      </c>
      <c r="B256" s="57">
        <v>2023</v>
      </c>
      <c r="C256" s="60">
        <v>0</v>
      </c>
      <c r="D256" s="60">
        <v>0</v>
      </c>
      <c r="E256" s="60">
        <v>0</v>
      </c>
      <c r="F256" s="60">
        <v>0</v>
      </c>
      <c r="G256" s="60">
        <v>0</v>
      </c>
      <c r="H256" s="60">
        <v>0</v>
      </c>
    </row>
    <row r="257" spans="1:8">
      <c r="A257" s="56" t="s">
        <v>74</v>
      </c>
      <c r="B257" s="57">
        <v>2023</v>
      </c>
      <c r="C257" s="60">
        <v>885</v>
      </c>
      <c r="D257" s="60">
        <v>329.92</v>
      </c>
      <c r="E257" s="60">
        <v>730.33</v>
      </c>
      <c r="F257" s="60">
        <v>493.42</v>
      </c>
      <c r="G257" s="60">
        <v>3147.25</v>
      </c>
      <c r="H257" s="60">
        <v>2332.58</v>
      </c>
    </row>
    <row r="258" spans="1:8">
      <c r="A258" s="56" t="s">
        <v>75</v>
      </c>
      <c r="B258" s="57">
        <v>2023</v>
      </c>
      <c r="C258" s="60">
        <v>981.42</v>
      </c>
      <c r="D258" s="60">
        <v>368.25</v>
      </c>
      <c r="E258" s="60">
        <v>947.75</v>
      </c>
      <c r="F258" s="60">
        <v>894.92</v>
      </c>
      <c r="G258" s="60">
        <v>3250.25</v>
      </c>
      <c r="H258" s="60">
        <v>2770.58</v>
      </c>
    </row>
    <row r="259" spans="1:8">
      <c r="A259" s="56" t="s">
        <v>76</v>
      </c>
      <c r="B259" s="57">
        <v>2023</v>
      </c>
      <c r="C259" s="60">
        <v>718.08</v>
      </c>
      <c r="D259" s="60">
        <v>304.83</v>
      </c>
      <c r="E259" s="60">
        <v>562.91999999999996</v>
      </c>
      <c r="F259" s="60">
        <v>598.16999999999996</v>
      </c>
      <c r="G259" s="60">
        <v>1497.5</v>
      </c>
      <c r="H259" s="60">
        <v>2942.5</v>
      </c>
    </row>
    <row r="260" spans="1:8">
      <c r="A260" s="56" t="s">
        <v>77</v>
      </c>
      <c r="B260" s="57">
        <v>2023</v>
      </c>
      <c r="C260" s="60">
        <v>712.17</v>
      </c>
      <c r="D260" s="60">
        <v>267.5</v>
      </c>
      <c r="E260" s="61" t="s">
        <v>210</v>
      </c>
      <c r="F260" s="60">
        <v>460.25</v>
      </c>
      <c r="G260" s="60">
        <v>1980</v>
      </c>
      <c r="H260" s="60">
        <v>1437.33</v>
      </c>
    </row>
    <row r="261" spans="1:8">
      <c r="A261" s="56" t="s">
        <v>78</v>
      </c>
      <c r="B261" s="57">
        <v>2023</v>
      </c>
      <c r="C261" s="60">
        <v>783.25</v>
      </c>
      <c r="D261" s="60">
        <v>283.67</v>
      </c>
      <c r="E261" s="61" t="s">
        <v>210</v>
      </c>
      <c r="F261" s="60">
        <v>539.91999999999996</v>
      </c>
      <c r="G261" s="60">
        <v>2311.58</v>
      </c>
      <c r="H261" s="60">
        <v>3017.5</v>
      </c>
    </row>
    <row r="262" spans="1:8">
      <c r="A262" s="56" t="s">
        <v>214</v>
      </c>
      <c r="B262" s="57">
        <v>2024</v>
      </c>
      <c r="C262" s="60">
        <v>822.17</v>
      </c>
      <c r="D262" s="60">
        <v>321.75</v>
      </c>
      <c r="E262" s="60">
        <v>672.75</v>
      </c>
      <c r="F262" s="60">
        <v>572.41999999999996</v>
      </c>
      <c r="G262" s="60">
        <v>2398.08</v>
      </c>
      <c r="H262" s="60">
        <v>2172.75</v>
      </c>
    </row>
    <row r="263" spans="1:8">
      <c r="A263" s="56" t="s">
        <v>19</v>
      </c>
      <c r="B263" s="57">
        <v>2024</v>
      </c>
      <c r="C263" s="60">
        <v>613.66999999999996</v>
      </c>
      <c r="D263" s="60">
        <v>236.67</v>
      </c>
      <c r="E263" s="61" t="s">
        <v>210</v>
      </c>
      <c r="F263" s="60">
        <v>450.92</v>
      </c>
      <c r="G263" s="60">
        <v>1564</v>
      </c>
      <c r="H263" s="60">
        <v>2172.75</v>
      </c>
    </row>
    <row r="264" spans="1:8">
      <c r="A264" s="56" t="s">
        <v>38</v>
      </c>
      <c r="B264" s="57">
        <v>2024</v>
      </c>
      <c r="C264" s="60">
        <v>813.92</v>
      </c>
      <c r="D264" s="60">
        <v>457.92</v>
      </c>
      <c r="E264" s="60">
        <v>735.25</v>
      </c>
      <c r="F264" s="60">
        <v>635.58000000000004</v>
      </c>
      <c r="G264" s="60">
        <v>2930</v>
      </c>
      <c r="H264" s="60">
        <v>2042.08</v>
      </c>
    </row>
    <row r="265" spans="1:8">
      <c r="A265" s="56" t="s">
        <v>39</v>
      </c>
      <c r="B265" s="57">
        <v>2024</v>
      </c>
      <c r="C265" s="60">
        <v>799.42</v>
      </c>
      <c r="D265" s="60">
        <v>321.17</v>
      </c>
      <c r="E265" s="60">
        <v>861.42</v>
      </c>
      <c r="F265" s="60">
        <v>621</v>
      </c>
      <c r="G265" s="60">
        <v>2836.83</v>
      </c>
      <c r="H265" s="60">
        <v>1118.67</v>
      </c>
    </row>
    <row r="266" spans="1:8">
      <c r="A266" s="56" t="s">
        <v>28</v>
      </c>
      <c r="B266" s="57">
        <v>2024</v>
      </c>
      <c r="C266" s="60">
        <v>703.42</v>
      </c>
      <c r="D266" s="60">
        <v>363.92</v>
      </c>
      <c r="E266" s="60">
        <v>644.25</v>
      </c>
      <c r="F266" s="60">
        <v>533.83000000000004</v>
      </c>
      <c r="G266" s="60">
        <v>1676.67</v>
      </c>
      <c r="H266" s="60">
        <v>1959</v>
      </c>
    </row>
    <row r="267" spans="1:8">
      <c r="A267" s="56" t="s">
        <v>40</v>
      </c>
      <c r="B267" s="57">
        <v>2024</v>
      </c>
      <c r="C267" s="60">
        <v>789.5</v>
      </c>
      <c r="D267" s="60">
        <v>329.25</v>
      </c>
      <c r="E267" s="60">
        <v>557.58000000000004</v>
      </c>
      <c r="F267" s="60">
        <v>588</v>
      </c>
      <c r="G267" s="60">
        <v>2836</v>
      </c>
      <c r="H267" s="60">
        <v>1551.25</v>
      </c>
    </row>
    <row r="268" spans="1:8">
      <c r="A268" s="56" t="s">
        <v>41</v>
      </c>
      <c r="B268" s="57">
        <v>2024</v>
      </c>
      <c r="C268" s="60">
        <v>683.58</v>
      </c>
      <c r="D268" s="60">
        <v>277.33</v>
      </c>
      <c r="E268" s="60">
        <v>514.58000000000004</v>
      </c>
      <c r="F268" s="60">
        <v>513.66999999999996</v>
      </c>
      <c r="G268" s="60">
        <v>3003.75</v>
      </c>
      <c r="H268" s="60">
        <v>2753.25</v>
      </c>
    </row>
    <row r="269" spans="1:8">
      <c r="A269" s="56" t="s">
        <v>42</v>
      </c>
      <c r="B269" s="57">
        <v>2024</v>
      </c>
      <c r="C269" s="60">
        <v>828.75</v>
      </c>
      <c r="D269" s="60">
        <v>319.67</v>
      </c>
      <c r="E269" s="60">
        <v>656.42</v>
      </c>
      <c r="F269" s="60">
        <v>518.83000000000004</v>
      </c>
      <c r="G269" s="60">
        <v>5017.25</v>
      </c>
      <c r="H269" s="60">
        <v>3905.25</v>
      </c>
    </row>
    <row r="270" spans="1:8">
      <c r="A270" s="56" t="s">
        <v>43</v>
      </c>
      <c r="B270" s="57">
        <v>2024</v>
      </c>
      <c r="C270" s="60">
        <v>885.08</v>
      </c>
      <c r="D270" s="60">
        <v>407.33</v>
      </c>
      <c r="E270" s="60">
        <v>719.67</v>
      </c>
      <c r="F270" s="60">
        <v>834.5</v>
      </c>
      <c r="G270" s="60">
        <v>3055.67</v>
      </c>
      <c r="H270" s="60">
        <v>3415.42</v>
      </c>
    </row>
    <row r="271" spans="1:8">
      <c r="A271" s="56" t="s">
        <v>44</v>
      </c>
      <c r="B271" s="57">
        <v>2024</v>
      </c>
      <c r="C271" s="60">
        <v>1153.33</v>
      </c>
      <c r="D271" s="60">
        <v>421</v>
      </c>
      <c r="E271" s="60">
        <v>645.66999999999996</v>
      </c>
      <c r="F271" s="60">
        <v>631.66999999999996</v>
      </c>
      <c r="G271" s="60">
        <v>3852.17</v>
      </c>
      <c r="H271" s="60">
        <v>3490.58</v>
      </c>
    </row>
    <row r="272" spans="1:8">
      <c r="A272" s="56" t="s">
        <v>30</v>
      </c>
      <c r="B272" s="57">
        <v>2024</v>
      </c>
      <c r="C272" s="60">
        <v>548.75</v>
      </c>
      <c r="D272" s="60">
        <v>224.75</v>
      </c>
      <c r="E272" s="61" t="s">
        <v>210</v>
      </c>
      <c r="F272" s="60">
        <v>341.75</v>
      </c>
      <c r="G272" s="60">
        <v>1618.25</v>
      </c>
      <c r="H272" s="60">
        <v>1563.17</v>
      </c>
    </row>
    <row r="273" spans="1:8">
      <c r="A273" s="56" t="s">
        <v>31</v>
      </c>
      <c r="B273" s="57">
        <v>2024</v>
      </c>
      <c r="C273" s="60">
        <v>522.41999999999996</v>
      </c>
      <c r="D273" s="60">
        <v>221.33</v>
      </c>
      <c r="E273" s="61" t="s">
        <v>210</v>
      </c>
      <c r="F273" s="60">
        <v>438.58</v>
      </c>
      <c r="G273" s="60">
        <v>1473.33</v>
      </c>
      <c r="H273" s="60">
        <v>1865.83</v>
      </c>
    </row>
    <row r="274" spans="1:8">
      <c r="A274" s="56" t="s">
        <v>45</v>
      </c>
      <c r="B274" s="57">
        <v>2024</v>
      </c>
      <c r="C274" s="60">
        <v>649.41999999999996</v>
      </c>
      <c r="D274" s="60">
        <v>326.5</v>
      </c>
      <c r="E274" s="60">
        <v>553.58000000000004</v>
      </c>
      <c r="F274" s="60">
        <v>489.33</v>
      </c>
      <c r="G274" s="60">
        <v>2457.08</v>
      </c>
      <c r="H274" s="60">
        <v>1461.58</v>
      </c>
    </row>
    <row r="275" spans="1:8">
      <c r="A275" s="56" t="s">
        <v>46</v>
      </c>
      <c r="B275" s="57">
        <v>2024</v>
      </c>
      <c r="C275" s="60">
        <v>701.33</v>
      </c>
      <c r="D275" s="60">
        <v>281.58</v>
      </c>
      <c r="E275" s="60">
        <v>547.75</v>
      </c>
      <c r="F275" s="60">
        <v>570.33000000000004</v>
      </c>
      <c r="G275" s="60">
        <v>2330.42</v>
      </c>
      <c r="H275" s="60">
        <v>1881.17</v>
      </c>
    </row>
    <row r="276" spans="1:8">
      <c r="A276" s="56" t="s">
        <v>47</v>
      </c>
      <c r="B276" s="57">
        <v>2024</v>
      </c>
      <c r="C276" s="60">
        <v>782.33</v>
      </c>
      <c r="D276" s="60">
        <v>370.33</v>
      </c>
      <c r="E276" s="60">
        <v>700.92</v>
      </c>
      <c r="F276" s="60">
        <v>542.25</v>
      </c>
      <c r="G276" s="60">
        <v>1553.08</v>
      </c>
      <c r="H276" s="60">
        <v>1966.58</v>
      </c>
    </row>
    <row r="277" spans="1:8">
      <c r="A277" s="56" t="s">
        <v>48</v>
      </c>
      <c r="B277" s="57">
        <v>2024</v>
      </c>
      <c r="C277" s="60">
        <v>841.42</v>
      </c>
      <c r="D277" s="60">
        <v>261.75</v>
      </c>
      <c r="E277" s="60">
        <v>816.5</v>
      </c>
      <c r="F277" s="60">
        <v>953.58</v>
      </c>
      <c r="G277" s="60">
        <v>2028.17</v>
      </c>
      <c r="H277" s="60">
        <v>2998.58</v>
      </c>
    </row>
    <row r="278" spans="1:8">
      <c r="A278" s="56" t="s">
        <v>49</v>
      </c>
      <c r="B278" s="57">
        <v>2024</v>
      </c>
      <c r="C278" s="60">
        <v>760.75</v>
      </c>
      <c r="D278" s="60">
        <v>277.25</v>
      </c>
      <c r="E278" s="60">
        <v>586.75</v>
      </c>
      <c r="F278" s="60">
        <v>564.16999999999996</v>
      </c>
      <c r="G278" s="60">
        <v>2420.42</v>
      </c>
      <c r="H278" s="60">
        <v>2736.42</v>
      </c>
    </row>
    <row r="279" spans="1:8">
      <c r="A279" s="56" t="s">
        <v>50</v>
      </c>
      <c r="B279" s="57">
        <v>2024</v>
      </c>
      <c r="C279" s="60">
        <v>904.67</v>
      </c>
      <c r="D279" s="60">
        <v>325.67</v>
      </c>
      <c r="E279" s="61" t="s">
        <v>210</v>
      </c>
      <c r="F279" s="60">
        <v>581.41999999999996</v>
      </c>
      <c r="G279" s="60">
        <v>2519.08</v>
      </c>
      <c r="H279" s="60">
        <v>2925.83</v>
      </c>
    </row>
    <row r="280" spans="1:8">
      <c r="A280" s="56" t="s">
        <v>51</v>
      </c>
      <c r="B280" s="57">
        <v>2024</v>
      </c>
      <c r="C280" s="60">
        <v>837.08</v>
      </c>
      <c r="D280" s="60">
        <v>409.83</v>
      </c>
      <c r="E280" s="60">
        <v>718.33</v>
      </c>
      <c r="F280" s="60">
        <v>732.58</v>
      </c>
      <c r="G280" s="60">
        <v>2105.42</v>
      </c>
      <c r="H280" s="60">
        <v>2115.5</v>
      </c>
    </row>
    <row r="281" spans="1:8">
      <c r="A281" s="56" t="s">
        <v>32</v>
      </c>
      <c r="B281" s="57">
        <v>2024</v>
      </c>
      <c r="C281" s="60">
        <v>686.17</v>
      </c>
      <c r="D281" s="60">
        <v>287.67</v>
      </c>
      <c r="E281" s="60">
        <v>638.25</v>
      </c>
      <c r="F281" s="60">
        <v>601.33000000000004</v>
      </c>
      <c r="G281" s="60">
        <v>1717.42</v>
      </c>
      <c r="H281" s="60">
        <v>1655.5</v>
      </c>
    </row>
    <row r="282" spans="1:8">
      <c r="A282" s="56" t="s">
        <v>52</v>
      </c>
      <c r="B282" s="57">
        <v>2024</v>
      </c>
      <c r="C282" s="60">
        <v>965.25</v>
      </c>
      <c r="D282" s="60">
        <v>438.58</v>
      </c>
      <c r="E282" s="60">
        <v>589</v>
      </c>
      <c r="F282" s="60">
        <v>508.08</v>
      </c>
      <c r="G282" s="60">
        <v>2358.33</v>
      </c>
      <c r="H282" s="60">
        <v>2201.17</v>
      </c>
    </row>
    <row r="283" spans="1:8">
      <c r="A283" s="56" t="s">
        <v>53</v>
      </c>
      <c r="B283" s="57">
        <v>2024</v>
      </c>
      <c r="C283" s="60">
        <v>856.25</v>
      </c>
      <c r="D283" s="60">
        <v>319</v>
      </c>
      <c r="E283" s="60">
        <v>781.75</v>
      </c>
      <c r="F283" s="60">
        <v>577.91999999999996</v>
      </c>
      <c r="G283" s="60">
        <v>3081.5</v>
      </c>
      <c r="H283" s="60">
        <v>3244.42</v>
      </c>
    </row>
    <row r="284" spans="1:8">
      <c r="A284" s="56" t="s">
        <v>54</v>
      </c>
      <c r="B284" s="57">
        <v>2024</v>
      </c>
      <c r="C284" s="60">
        <v>1064.5</v>
      </c>
      <c r="D284" s="60">
        <v>402.67</v>
      </c>
      <c r="E284" s="60">
        <v>718.58</v>
      </c>
      <c r="F284" s="60">
        <v>545</v>
      </c>
      <c r="G284" s="60">
        <v>1948.75</v>
      </c>
      <c r="H284" s="60">
        <v>2476.17</v>
      </c>
    </row>
    <row r="285" spans="1:8">
      <c r="A285" s="56" t="s">
        <v>55</v>
      </c>
      <c r="B285" s="57">
        <v>2024</v>
      </c>
      <c r="C285" s="60">
        <v>677.25</v>
      </c>
      <c r="D285" s="60">
        <v>247.67</v>
      </c>
      <c r="E285" s="60">
        <v>581.41999999999996</v>
      </c>
      <c r="F285" s="60">
        <v>472.42</v>
      </c>
      <c r="G285" s="60">
        <v>1761.42</v>
      </c>
      <c r="H285" s="60">
        <v>2087.42</v>
      </c>
    </row>
    <row r="286" spans="1:8">
      <c r="A286" s="56" t="s">
        <v>56</v>
      </c>
      <c r="B286" s="57">
        <v>2024</v>
      </c>
      <c r="C286" s="60">
        <v>1108.17</v>
      </c>
      <c r="D286" s="60">
        <v>354.92</v>
      </c>
      <c r="E286" s="60">
        <v>947.33</v>
      </c>
      <c r="F286" s="60">
        <v>646.08000000000004</v>
      </c>
      <c r="G286" s="60">
        <v>4501</v>
      </c>
      <c r="H286" s="60">
        <v>3483.92</v>
      </c>
    </row>
    <row r="287" spans="1:8">
      <c r="A287" s="56" t="s">
        <v>33</v>
      </c>
      <c r="B287" s="57">
        <v>2024</v>
      </c>
      <c r="C287" s="60">
        <v>720.83</v>
      </c>
      <c r="D287" s="60">
        <v>299.33</v>
      </c>
      <c r="E287" s="61" t="s">
        <v>210</v>
      </c>
      <c r="F287" s="60">
        <v>587.58000000000004</v>
      </c>
      <c r="G287" s="60">
        <v>1697.83</v>
      </c>
      <c r="H287" s="60">
        <v>2128.17</v>
      </c>
    </row>
    <row r="288" spans="1:8">
      <c r="A288" s="56" t="s">
        <v>57</v>
      </c>
      <c r="B288" s="57">
        <v>2024</v>
      </c>
      <c r="C288" s="60">
        <v>886.17</v>
      </c>
      <c r="D288" s="60">
        <v>386.08</v>
      </c>
      <c r="E288" s="60">
        <v>540.66999999999996</v>
      </c>
      <c r="F288" s="60">
        <v>555.75</v>
      </c>
      <c r="G288" s="60">
        <v>2503.58</v>
      </c>
      <c r="H288" s="60">
        <v>2013.5</v>
      </c>
    </row>
    <row r="289" spans="1:8">
      <c r="A289" s="56" t="s">
        <v>58</v>
      </c>
      <c r="B289" s="57">
        <v>2024</v>
      </c>
      <c r="C289" s="60">
        <v>755.58</v>
      </c>
      <c r="D289" s="60">
        <v>380</v>
      </c>
      <c r="E289" s="60">
        <v>718</v>
      </c>
      <c r="F289" s="60">
        <v>686.75</v>
      </c>
      <c r="G289" s="60">
        <v>2081.42</v>
      </c>
      <c r="H289" s="60">
        <v>2232.33</v>
      </c>
    </row>
    <row r="290" spans="1:8">
      <c r="A290" s="56" t="s">
        <v>59</v>
      </c>
      <c r="B290" s="57">
        <v>2024</v>
      </c>
      <c r="C290" s="60">
        <v>954.67</v>
      </c>
      <c r="D290" s="60">
        <v>327</v>
      </c>
      <c r="E290" s="60">
        <v>873.58</v>
      </c>
      <c r="F290" s="60">
        <v>718.58</v>
      </c>
      <c r="G290" s="60">
        <v>2726.75</v>
      </c>
      <c r="H290" s="60">
        <v>2844.5</v>
      </c>
    </row>
    <row r="291" spans="1:8">
      <c r="A291" s="56" t="s">
        <v>60</v>
      </c>
      <c r="B291" s="57">
        <v>2024</v>
      </c>
      <c r="C291" s="60">
        <v>550.25</v>
      </c>
      <c r="D291" s="60">
        <v>226</v>
      </c>
      <c r="E291" s="60">
        <v>577.58000000000004</v>
      </c>
      <c r="F291" s="60">
        <v>452.08</v>
      </c>
      <c r="G291" s="60">
        <v>2064.42</v>
      </c>
      <c r="H291" s="60">
        <v>1884.58</v>
      </c>
    </row>
    <row r="292" spans="1:8">
      <c r="A292" s="56" t="s">
        <v>61</v>
      </c>
      <c r="B292" s="57">
        <v>2024</v>
      </c>
      <c r="C292" s="60">
        <v>930.42</v>
      </c>
      <c r="D292" s="60">
        <v>405.25</v>
      </c>
      <c r="E292" s="60">
        <v>643.83000000000004</v>
      </c>
      <c r="F292" s="60">
        <v>600.75</v>
      </c>
      <c r="G292" s="60">
        <v>2822.5</v>
      </c>
      <c r="H292" s="60">
        <v>3953.42</v>
      </c>
    </row>
    <row r="293" spans="1:8">
      <c r="A293" s="56" t="s">
        <v>62</v>
      </c>
      <c r="B293" s="57">
        <v>2024</v>
      </c>
      <c r="C293" s="60">
        <v>914.08</v>
      </c>
      <c r="D293" s="60">
        <v>321.25</v>
      </c>
      <c r="E293" s="60">
        <v>642.16999999999996</v>
      </c>
      <c r="F293" s="60">
        <v>660.75</v>
      </c>
      <c r="G293" s="60">
        <v>3201.25</v>
      </c>
      <c r="H293" s="60">
        <v>2270.67</v>
      </c>
    </row>
    <row r="294" spans="1:8">
      <c r="A294" s="56" t="s">
        <v>63</v>
      </c>
      <c r="B294" s="57">
        <v>2024</v>
      </c>
      <c r="C294" s="60">
        <v>746.58</v>
      </c>
      <c r="D294" s="60">
        <v>384.17</v>
      </c>
      <c r="E294" s="60">
        <v>659.5</v>
      </c>
      <c r="F294" s="60">
        <v>648</v>
      </c>
      <c r="G294" s="60">
        <v>2682.33</v>
      </c>
      <c r="H294" s="60">
        <v>2466.08</v>
      </c>
    </row>
    <row r="295" spans="1:8">
      <c r="A295" s="56" t="s">
        <v>64</v>
      </c>
      <c r="B295" s="57">
        <v>2024</v>
      </c>
      <c r="C295" s="60">
        <v>975.33</v>
      </c>
      <c r="D295" s="60">
        <v>298</v>
      </c>
      <c r="E295" s="60">
        <v>624.5</v>
      </c>
      <c r="F295" s="60">
        <v>535.16999999999996</v>
      </c>
      <c r="G295" s="60">
        <v>3198</v>
      </c>
      <c r="H295" s="60">
        <v>2941.83</v>
      </c>
    </row>
    <row r="296" spans="1:8">
      <c r="A296" s="56" t="s">
        <v>34</v>
      </c>
      <c r="B296" s="57">
        <v>2024</v>
      </c>
      <c r="C296" s="60">
        <v>795.83</v>
      </c>
      <c r="D296" s="60">
        <v>309.17</v>
      </c>
      <c r="E296" s="61" t="s">
        <v>210</v>
      </c>
      <c r="F296" s="60">
        <v>586.16999999999996</v>
      </c>
      <c r="G296" s="60">
        <v>2027.5</v>
      </c>
      <c r="H296" s="60">
        <v>1869.17</v>
      </c>
    </row>
    <row r="297" spans="1:8">
      <c r="A297" s="56" t="s">
        <v>65</v>
      </c>
      <c r="B297" s="57">
        <v>2024</v>
      </c>
      <c r="C297" s="60">
        <v>1123.25</v>
      </c>
      <c r="D297" s="60">
        <v>378.25</v>
      </c>
      <c r="E297" s="60">
        <v>124.5</v>
      </c>
      <c r="F297" s="60">
        <v>500.92</v>
      </c>
      <c r="G297" s="60">
        <v>4283.83</v>
      </c>
      <c r="H297" s="60">
        <v>5634.42</v>
      </c>
    </row>
    <row r="298" spans="1:8">
      <c r="A298" s="56" t="s">
        <v>66</v>
      </c>
      <c r="B298" s="57">
        <v>2024</v>
      </c>
      <c r="C298" s="60">
        <v>852</v>
      </c>
      <c r="D298" s="60">
        <v>318.75</v>
      </c>
      <c r="E298" s="60">
        <v>713.67</v>
      </c>
      <c r="F298" s="60">
        <v>550.41999999999996</v>
      </c>
      <c r="G298" s="60">
        <v>2428.83</v>
      </c>
      <c r="H298" s="60">
        <v>2738</v>
      </c>
    </row>
    <row r="299" spans="1:8">
      <c r="A299" s="56" t="s">
        <v>67</v>
      </c>
      <c r="B299" s="57">
        <v>2024</v>
      </c>
      <c r="C299" s="60">
        <v>626</v>
      </c>
      <c r="D299" s="60">
        <v>346.33</v>
      </c>
      <c r="E299" s="60">
        <v>487.92</v>
      </c>
      <c r="F299" s="60">
        <v>471.33</v>
      </c>
      <c r="G299" s="60">
        <v>1692.33</v>
      </c>
      <c r="H299" s="60">
        <v>1526.83</v>
      </c>
    </row>
    <row r="300" spans="1:8">
      <c r="A300" s="56" t="s">
        <v>68</v>
      </c>
      <c r="B300" s="57">
        <v>2024</v>
      </c>
      <c r="C300" s="60">
        <v>982.92</v>
      </c>
      <c r="D300" s="60">
        <v>379.58</v>
      </c>
      <c r="E300" s="60">
        <v>721</v>
      </c>
      <c r="F300" s="60">
        <v>958.08</v>
      </c>
      <c r="G300" s="60">
        <v>2739.33</v>
      </c>
      <c r="H300" s="60">
        <v>4641.83</v>
      </c>
    </row>
    <row r="301" spans="1:8">
      <c r="A301" s="56" t="s">
        <v>69</v>
      </c>
      <c r="B301" s="57">
        <v>2024</v>
      </c>
      <c r="C301" s="60">
        <v>1084.42</v>
      </c>
      <c r="D301" s="60">
        <v>388.33</v>
      </c>
      <c r="E301" s="60">
        <v>677.08</v>
      </c>
      <c r="F301" s="60">
        <v>618.5</v>
      </c>
      <c r="G301" s="60">
        <v>2425.33</v>
      </c>
      <c r="H301" s="60">
        <v>3078</v>
      </c>
    </row>
    <row r="302" spans="1:8">
      <c r="A302" s="56" t="s">
        <v>70</v>
      </c>
      <c r="B302" s="57">
        <v>2024</v>
      </c>
      <c r="C302" s="60">
        <v>830.17</v>
      </c>
      <c r="D302" s="60">
        <v>618.33000000000004</v>
      </c>
      <c r="E302" s="60">
        <v>665.83</v>
      </c>
      <c r="F302" s="60">
        <v>470.42</v>
      </c>
      <c r="G302" s="60">
        <v>2149.17</v>
      </c>
      <c r="H302" s="60">
        <v>1192.08</v>
      </c>
    </row>
    <row r="303" spans="1:8">
      <c r="A303" s="56" t="s">
        <v>35</v>
      </c>
      <c r="B303" s="57">
        <v>2024</v>
      </c>
      <c r="C303" s="60">
        <v>551.08000000000004</v>
      </c>
      <c r="D303" s="60">
        <v>230.5</v>
      </c>
      <c r="E303" s="61" t="s">
        <v>210</v>
      </c>
      <c r="F303" s="60">
        <v>418.33</v>
      </c>
      <c r="G303" s="60">
        <v>1518.58</v>
      </c>
      <c r="H303" s="60">
        <v>1239.67</v>
      </c>
    </row>
    <row r="304" spans="1:8">
      <c r="A304" s="56" t="s">
        <v>71</v>
      </c>
      <c r="B304" s="57">
        <v>2024</v>
      </c>
      <c r="C304" s="60">
        <v>790.67</v>
      </c>
      <c r="D304" s="60">
        <v>259.5</v>
      </c>
      <c r="E304" s="61" t="s">
        <v>210</v>
      </c>
      <c r="F304" s="60">
        <v>553.66999999999996</v>
      </c>
      <c r="G304" s="60">
        <v>2596.75</v>
      </c>
      <c r="H304" s="60">
        <v>2510.08</v>
      </c>
    </row>
    <row r="305" spans="1:8">
      <c r="A305" s="56" t="s">
        <v>36</v>
      </c>
      <c r="B305" s="57">
        <v>2024</v>
      </c>
      <c r="C305" s="60">
        <v>621.25</v>
      </c>
      <c r="D305" s="60">
        <v>328.75</v>
      </c>
      <c r="E305" s="61" t="s">
        <v>210</v>
      </c>
      <c r="F305" s="60">
        <v>461.67</v>
      </c>
      <c r="G305" s="60">
        <v>1505.58</v>
      </c>
      <c r="H305" s="60">
        <v>2182.5</v>
      </c>
    </row>
    <row r="306" spans="1:8">
      <c r="A306" s="56" t="s">
        <v>37</v>
      </c>
      <c r="B306" s="57">
        <v>2024</v>
      </c>
      <c r="C306" s="60">
        <v>750.83</v>
      </c>
      <c r="D306" s="60">
        <v>331.58</v>
      </c>
      <c r="E306" s="60">
        <v>252.42</v>
      </c>
      <c r="F306" s="60">
        <v>751</v>
      </c>
      <c r="G306" s="60">
        <v>2367.17</v>
      </c>
      <c r="H306" s="60">
        <v>2244.83</v>
      </c>
    </row>
    <row r="307" spans="1:8">
      <c r="A307" s="56" t="s">
        <v>72</v>
      </c>
      <c r="B307" s="57">
        <v>2024</v>
      </c>
      <c r="C307" s="60">
        <v>812.08</v>
      </c>
      <c r="D307" s="60">
        <v>328.25</v>
      </c>
      <c r="E307" s="60">
        <v>747.58</v>
      </c>
      <c r="F307" s="60">
        <v>679.08</v>
      </c>
      <c r="G307" s="60">
        <v>2572</v>
      </c>
      <c r="H307" s="60">
        <v>2000.58</v>
      </c>
    </row>
    <row r="308" spans="1:8">
      <c r="A308" s="56" t="s">
        <v>73</v>
      </c>
      <c r="B308" s="57">
        <v>2024</v>
      </c>
      <c r="C308" s="60">
        <v>0</v>
      </c>
      <c r="D308" s="60">
        <v>0</v>
      </c>
      <c r="E308" s="60">
        <v>0</v>
      </c>
      <c r="F308" s="60">
        <v>0</v>
      </c>
      <c r="G308" s="60">
        <v>0</v>
      </c>
      <c r="H308" s="60">
        <v>0</v>
      </c>
    </row>
    <row r="309" spans="1:8">
      <c r="A309" s="56" t="s">
        <v>74</v>
      </c>
      <c r="B309" s="57">
        <v>2024</v>
      </c>
      <c r="C309" s="60">
        <v>910.75</v>
      </c>
      <c r="D309" s="60">
        <v>339.5</v>
      </c>
      <c r="E309" s="60">
        <v>751.67</v>
      </c>
      <c r="F309" s="60">
        <v>507.83</v>
      </c>
      <c r="G309" s="60">
        <v>3239</v>
      </c>
      <c r="H309" s="60">
        <v>2400.58</v>
      </c>
    </row>
    <row r="310" spans="1:8">
      <c r="A310" s="56" t="s">
        <v>75</v>
      </c>
      <c r="B310" s="57">
        <v>2024</v>
      </c>
      <c r="C310" s="60">
        <v>1010.08</v>
      </c>
      <c r="D310" s="60">
        <v>378.92</v>
      </c>
      <c r="E310" s="60">
        <v>975.42</v>
      </c>
      <c r="F310" s="60">
        <v>921</v>
      </c>
      <c r="G310" s="60">
        <v>3345</v>
      </c>
      <c r="H310" s="60">
        <v>2851.33</v>
      </c>
    </row>
    <row r="311" spans="1:8">
      <c r="A311" s="56" t="s">
        <v>76</v>
      </c>
      <c r="B311" s="57">
        <v>2024</v>
      </c>
      <c r="C311" s="60">
        <v>739</v>
      </c>
      <c r="D311" s="60">
        <v>313.75</v>
      </c>
      <c r="E311" s="60">
        <v>579.33000000000004</v>
      </c>
      <c r="F311" s="60">
        <v>615.58000000000004</v>
      </c>
      <c r="G311" s="60">
        <v>1541.17</v>
      </c>
      <c r="H311" s="60">
        <v>3028.33</v>
      </c>
    </row>
    <row r="312" spans="1:8">
      <c r="A312" s="56" t="s">
        <v>77</v>
      </c>
      <c r="B312" s="57">
        <v>2024</v>
      </c>
      <c r="C312" s="60">
        <v>732.92</v>
      </c>
      <c r="D312" s="60">
        <v>275.25</v>
      </c>
      <c r="E312" s="61" t="s">
        <v>210</v>
      </c>
      <c r="F312" s="60">
        <v>473.67</v>
      </c>
      <c r="G312" s="60">
        <v>2037.67</v>
      </c>
      <c r="H312" s="60">
        <v>1479.25</v>
      </c>
    </row>
    <row r="313" spans="1:8">
      <c r="A313" s="56" t="s">
        <v>78</v>
      </c>
      <c r="B313" s="57">
        <v>2024</v>
      </c>
      <c r="C313" s="60">
        <v>806.08</v>
      </c>
      <c r="D313" s="60">
        <v>291.92</v>
      </c>
      <c r="E313" s="61" t="s">
        <v>210</v>
      </c>
      <c r="F313" s="60">
        <v>555.66999999999996</v>
      </c>
      <c r="G313" s="60">
        <v>2379</v>
      </c>
      <c r="H313" s="60">
        <v>3105.5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01351-4268-4002-881D-C14D24BC0474}">
  <sheetPr codeName="Sheet3"/>
  <dimension ref="A1:H1"/>
  <sheetViews>
    <sheetView workbookViewId="0">
      <selection sqref="A1:XFD1048576"/>
    </sheetView>
  </sheetViews>
  <sheetFormatPr defaultRowHeight="14.5"/>
  <cols>
    <col min="3" max="4" width="8.7265625" style="19"/>
    <col min="5" max="5" width="16.36328125" style="49" customWidth="1"/>
    <col min="6" max="6" width="8.7265625" style="19"/>
    <col min="7" max="7" width="10.453125" style="19" customWidth="1"/>
    <col min="8" max="8" width="8.7265625" style="19"/>
  </cols>
  <sheetData>
    <row r="1" spans="1:8">
      <c r="A1" s="50"/>
      <c r="B1" s="51"/>
      <c r="C1" s="52"/>
      <c r="D1" s="52"/>
      <c r="E1" s="53"/>
      <c r="F1" s="52"/>
      <c r="G1" s="52"/>
      <c r="H1"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BLS Data</vt:lpstr>
      <vt:lpstr>Mcaid</vt:lpstr>
      <vt:lpstr>Cliff WB PMPM</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Raymond Packer</cp:lastModifiedBy>
  <dcterms:created xsi:type="dcterms:W3CDTF">2023-02-20T13:02:50Z</dcterms:created>
  <dcterms:modified xsi:type="dcterms:W3CDTF">2025-02-11T17:59:15Z</dcterms:modified>
</cp:coreProperties>
</file>